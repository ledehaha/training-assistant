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MYCLOUDPR4100\grogu\Work Files\dav\我的坚果云\2019年\上海市劳模学院\2024年培训项目\外高桥造船厂\"/>
    </mc:Choice>
  </mc:AlternateContent>
  <xr:revisionPtr revIDLastSave="0" documentId="13_ncr:1_{8AC6CE9E-E79F-4620-87A3-B4B8F3B868C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预算表 " sheetId="3" r:id="rId1"/>
    <sheet name="测算表" sheetId="1" r:id="rId2"/>
    <sheet name="测算表 (最终)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3" l="1"/>
  <c r="F11" i="1" s="1"/>
  <c r="F16" i="3"/>
  <c r="F10" i="1" s="1"/>
  <c r="F15" i="3"/>
  <c r="F9" i="1" s="1"/>
  <c r="F12" i="3"/>
  <c r="F6" i="1" s="1"/>
  <c r="F7" i="1"/>
  <c r="F8" i="1"/>
  <c r="F12" i="1"/>
  <c r="F13" i="1"/>
  <c r="F14" i="3"/>
  <c r="F13" i="3"/>
  <c r="B14" i="4"/>
  <c r="D3" i="4"/>
  <c r="B7" i="1"/>
  <c r="B8" i="1"/>
  <c r="B9" i="1"/>
  <c r="B10" i="1"/>
  <c r="B11" i="1"/>
  <c r="B12" i="1"/>
  <c r="B13" i="1"/>
  <c r="B6" i="1"/>
  <c r="D3" i="1"/>
  <c r="B14" i="1"/>
  <c r="D5" i="3"/>
  <c r="F14" i="4" l="1"/>
  <c r="F15" i="4" s="1"/>
  <c r="F8" i="3"/>
  <c r="F18" i="3" s="1"/>
  <c r="F23" i="3" s="1"/>
  <c r="F24" i="3" s="1"/>
  <c r="F14" i="1" l="1"/>
  <c r="F15" i="1" s="1"/>
</calcChain>
</file>

<file path=xl/sharedStrings.xml><?xml version="1.0" encoding="utf-8"?>
<sst xmlns="http://schemas.openxmlformats.org/spreadsheetml/2006/main" count="91" uniqueCount="73">
  <si>
    <t>项目名称</t>
  </si>
  <si>
    <t>培训形式</t>
  </si>
  <si>
    <t>业余制</t>
  </si>
  <si>
    <t>班级人数</t>
  </si>
  <si>
    <t>培训收费</t>
  </si>
  <si>
    <t>合计收入</t>
  </si>
  <si>
    <t>培训课时</t>
  </si>
  <si>
    <t>教师配备</t>
  </si>
  <si>
    <t>班主任</t>
  </si>
  <si>
    <t>成本测算内容</t>
  </si>
  <si>
    <r>
      <t>金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宋体"/>
        <family val="3"/>
        <charset val="134"/>
      </rPr>
      <t>额</t>
    </r>
  </si>
  <si>
    <t>成本合计</t>
  </si>
  <si>
    <t>培训办班项目收支预算表</t>
    <phoneticPr fontId="15" type="noConversion"/>
  </si>
  <si>
    <t>编制部门：（公章）</t>
    <phoneticPr fontId="15" type="noConversion"/>
  </si>
  <si>
    <t>单位：元</t>
    <phoneticPr fontId="15" type="noConversion"/>
  </si>
  <si>
    <t>项目名称</t>
    <phoneticPr fontId="15" type="noConversion"/>
  </si>
  <si>
    <t>项目类型</t>
    <phoneticPr fontId="15" type="noConversion"/>
  </si>
  <si>
    <t>培训人数</t>
    <phoneticPr fontId="15" type="noConversion"/>
  </si>
  <si>
    <t>收费标准</t>
    <phoneticPr fontId="15" type="noConversion"/>
  </si>
  <si>
    <t>收费合计</t>
    <phoneticPr fontId="15" type="noConversion"/>
  </si>
  <si>
    <t>培训天数</t>
    <phoneticPr fontId="15" type="noConversion"/>
  </si>
  <si>
    <t>项目负责人</t>
    <phoneticPr fontId="15" type="noConversion"/>
  </si>
  <si>
    <t>序号</t>
    <phoneticPr fontId="15" type="noConversion"/>
  </si>
  <si>
    <t>收入预算明细</t>
    <phoneticPr fontId="15" type="noConversion"/>
  </si>
  <si>
    <t>金额</t>
    <phoneticPr fontId="15" type="noConversion"/>
  </si>
  <si>
    <t>备注</t>
    <phoneticPr fontId="15" type="noConversion"/>
  </si>
  <si>
    <t>培训费收入</t>
    <phoneticPr fontId="15" type="noConversion"/>
  </si>
  <si>
    <t>收入合计</t>
    <phoneticPr fontId="15" type="noConversion"/>
  </si>
  <si>
    <t>支出预算明细</t>
    <phoneticPr fontId="15" type="noConversion"/>
  </si>
  <si>
    <t>测算依据</t>
    <phoneticPr fontId="15" type="noConversion"/>
  </si>
  <si>
    <t>必须按实际需要填列，严格控制在合理成本范围内</t>
    <phoneticPr fontId="15" type="noConversion"/>
  </si>
  <si>
    <t>收入的15%</t>
    <phoneticPr fontId="15" type="noConversion"/>
  </si>
  <si>
    <t>支出合计</t>
    <phoneticPr fontId="15" type="noConversion"/>
  </si>
  <si>
    <t>结  余</t>
    <phoneticPr fontId="15" type="noConversion"/>
  </si>
  <si>
    <t>财务处审核：</t>
    <phoneticPr fontId="15" type="noConversion"/>
  </si>
  <si>
    <t>项目负责人审核：</t>
    <phoneticPr fontId="15" type="noConversion"/>
  </si>
  <si>
    <t>制表人：</t>
    <phoneticPr fontId="15" type="noConversion"/>
  </si>
  <si>
    <t>注：项目结束后及时到财务处办理结题手续</t>
    <phoneticPr fontId="15" type="noConversion"/>
  </si>
  <si>
    <t>3人</t>
    <phoneticPr fontId="3" type="noConversion"/>
  </si>
  <si>
    <t>课时标准成本=总收入÷人数÷课时=167000/36/28=165.67元/人·课时</t>
    <phoneticPr fontId="4" type="noConversion"/>
  </si>
  <si>
    <t>郭小铭</t>
    <phoneticPr fontId="15" type="noConversion"/>
  </si>
  <si>
    <t>学校管理费</t>
    <phoneticPr fontId="15" type="noConversion"/>
  </si>
  <si>
    <t>学员手册等印刷费</t>
    <phoneticPr fontId="3" type="noConversion"/>
  </si>
  <si>
    <t>上海外高桥造船有限公司班组长能力提升培训班</t>
    <phoneticPr fontId="15" type="noConversion"/>
  </si>
  <si>
    <t>线下</t>
    <phoneticPr fontId="15" type="noConversion"/>
  </si>
  <si>
    <r>
      <rPr>
        <sz val="11"/>
        <color rgb="FF000000"/>
        <rFont val="仿宋_GB2312"/>
        <family val="3"/>
      </rPr>
      <t>32</t>
    </r>
    <r>
      <rPr>
        <sz val="11"/>
        <color indexed="8"/>
        <rFont val="仿宋_GB2312"/>
        <family val="3"/>
        <charset val="134"/>
      </rPr>
      <t>课时</t>
    </r>
    <phoneticPr fontId="15" type="noConversion"/>
  </si>
  <si>
    <r>
      <rPr>
        <sz val="11"/>
        <color rgb="FF000000"/>
        <rFont val="Microsoft YaHei UI"/>
        <family val="3"/>
        <charset val="134"/>
      </rPr>
      <t>4</t>
    </r>
    <r>
      <rPr>
        <sz val="11"/>
        <color indexed="8"/>
        <rFont val="仿宋_GB2312"/>
        <family val="3"/>
        <charset val="134"/>
      </rPr>
      <t>天</t>
    </r>
    <phoneticPr fontId="15" type="noConversion"/>
  </si>
  <si>
    <t>场地费</t>
    <phoneticPr fontId="15" type="noConversion"/>
  </si>
  <si>
    <t>伙食费</t>
    <phoneticPr fontId="15" type="noConversion"/>
  </si>
  <si>
    <t>茶歇</t>
    <phoneticPr fontId="15" type="noConversion"/>
  </si>
  <si>
    <t>劳务费</t>
    <phoneticPr fontId="3" type="noConversion"/>
  </si>
  <si>
    <r>
      <t>200</t>
    </r>
    <r>
      <rPr>
        <sz val="10"/>
        <color rgb="FF000000"/>
        <rFont val="宋体"/>
        <family val="3"/>
        <charset val="134"/>
      </rPr>
      <t>0</t>
    </r>
    <r>
      <rPr>
        <sz val="10"/>
        <color indexed="8"/>
        <rFont val="仿宋_GB2312"/>
        <family val="3"/>
        <charset val="134"/>
      </rPr>
      <t>元/课时*</t>
    </r>
    <r>
      <rPr>
        <sz val="10"/>
        <color rgb="FF000000"/>
        <rFont val="宋体"/>
        <family val="3"/>
        <charset val="134"/>
      </rPr>
      <t>8</t>
    </r>
    <r>
      <rPr>
        <sz val="10"/>
        <color indexed="8"/>
        <rFont val="仿宋_GB2312"/>
        <family val="3"/>
        <charset val="134"/>
      </rPr>
      <t>课时*</t>
    </r>
    <r>
      <rPr>
        <sz val="10"/>
        <color rgb="FF000000"/>
        <rFont val="宋体"/>
        <family val="3"/>
        <charset val="134"/>
      </rPr>
      <t>1</t>
    </r>
    <r>
      <rPr>
        <sz val="10"/>
        <color indexed="8"/>
        <rFont val="仿宋_GB2312"/>
        <family val="3"/>
        <charset val="134"/>
      </rPr>
      <t>人</t>
    </r>
    <phoneticPr fontId="15" type="noConversion"/>
  </si>
  <si>
    <r>
      <rPr>
        <sz val="10"/>
        <color rgb="FF000000"/>
        <rFont val="宋体"/>
        <family val="3"/>
        <charset val="134"/>
      </rPr>
      <t>1</t>
    </r>
    <r>
      <rPr>
        <sz val="10"/>
        <color indexed="8"/>
        <rFont val="仿宋_GB2312"/>
        <family val="3"/>
        <charset val="134"/>
      </rPr>
      <t>00</t>
    </r>
    <r>
      <rPr>
        <sz val="10"/>
        <color rgb="FF000000"/>
        <rFont val="宋体"/>
        <family val="3"/>
        <charset val="134"/>
      </rPr>
      <t>0</t>
    </r>
    <r>
      <rPr>
        <sz val="10"/>
        <color indexed="8"/>
        <rFont val="仿宋_GB2312"/>
        <family val="3"/>
        <charset val="134"/>
      </rPr>
      <t>元/课时*</t>
    </r>
    <r>
      <rPr>
        <sz val="10"/>
        <color rgb="FF000000"/>
        <rFont val="宋体"/>
        <family val="3"/>
        <charset val="134"/>
      </rPr>
      <t>24</t>
    </r>
    <r>
      <rPr>
        <sz val="10"/>
        <color indexed="8"/>
        <rFont val="仿宋_GB2312"/>
        <family val="3"/>
        <charset val="134"/>
      </rPr>
      <t>课时*</t>
    </r>
    <r>
      <rPr>
        <sz val="10"/>
        <color rgb="FF000000"/>
        <rFont val="宋体"/>
        <family val="3"/>
        <charset val="134"/>
      </rPr>
      <t>1</t>
    </r>
    <r>
      <rPr>
        <sz val="10"/>
        <color indexed="8"/>
        <rFont val="仿宋_GB2312"/>
        <family val="3"/>
        <charset val="134"/>
      </rPr>
      <t>人</t>
    </r>
    <phoneticPr fontId="15" type="noConversion"/>
  </si>
  <si>
    <t>授课讲师费（专家）</t>
    <phoneticPr fontId="15" type="noConversion"/>
  </si>
  <si>
    <t>授课讲师费（讲师）</t>
    <phoneticPr fontId="3" type="noConversion"/>
  </si>
  <si>
    <t>成本测算表（上海劳模学院）</t>
    <phoneticPr fontId="3" type="noConversion"/>
  </si>
  <si>
    <t>班组长能力提升培训项目（第1期）</t>
    <phoneticPr fontId="4" type="noConversion"/>
  </si>
  <si>
    <t>在职：8人</t>
    <phoneticPr fontId="4" type="noConversion"/>
  </si>
  <si>
    <t>场地费 2500元/天*4天</t>
  </si>
  <si>
    <t>授课讲师费（专家） 2000元/课时*8课时*1人</t>
  </si>
  <si>
    <t>授课讲师费（讲师） 1000元/课时*24课时*1人</t>
  </si>
  <si>
    <t>伙食费 35元/人次*50人*4次</t>
  </si>
  <si>
    <t>茶歇 20元/人次*50人*8次</t>
  </si>
  <si>
    <t>劳务费 800元/人天*4天*3人</t>
  </si>
  <si>
    <t>学校管理费 收入的15%</t>
  </si>
  <si>
    <t>学员手册等印刷费 148.5元/人*50人</t>
  </si>
  <si>
    <r>
      <rPr>
        <sz val="10"/>
        <color rgb="FF000000"/>
        <rFont val="宋体"/>
        <family val="3"/>
        <charset val="134"/>
      </rPr>
      <t>800元/天*1</t>
    </r>
    <r>
      <rPr>
        <sz val="10"/>
        <color indexed="8"/>
        <rFont val="仿宋_GB2312"/>
        <family val="3"/>
        <charset val="134"/>
      </rPr>
      <t>天</t>
    </r>
    <phoneticPr fontId="15" type="noConversion"/>
  </si>
  <si>
    <r>
      <rPr>
        <sz val="10"/>
        <color rgb="FF000000"/>
        <rFont val="仿宋_GB2312"/>
        <family val="3"/>
      </rPr>
      <t>100</t>
    </r>
    <r>
      <rPr>
        <sz val="10"/>
        <color indexed="8"/>
        <rFont val="仿宋_GB2312"/>
        <family val="3"/>
        <charset val="134"/>
      </rPr>
      <t>元/人*</t>
    </r>
    <r>
      <rPr>
        <sz val="10"/>
        <color rgb="FF000000"/>
        <rFont val="仿宋_GB2312"/>
        <family val="3"/>
      </rPr>
      <t>50</t>
    </r>
    <r>
      <rPr>
        <sz val="10"/>
        <color indexed="8"/>
        <rFont val="仿宋_GB2312"/>
        <family val="3"/>
        <charset val="134"/>
      </rPr>
      <t>人</t>
    </r>
    <phoneticPr fontId="3" type="noConversion"/>
  </si>
  <si>
    <r>
      <rPr>
        <sz val="10"/>
        <color rgb="FF000000"/>
        <rFont val="宋体"/>
        <family val="3"/>
        <charset val="134"/>
      </rPr>
      <t>30</t>
    </r>
    <r>
      <rPr>
        <sz val="10"/>
        <color indexed="8"/>
        <rFont val="仿宋_GB2312"/>
        <family val="3"/>
        <charset val="134"/>
      </rPr>
      <t>元/人次*</t>
    </r>
    <r>
      <rPr>
        <sz val="10"/>
        <color rgb="FF000000"/>
        <rFont val="宋体"/>
        <family val="3"/>
        <charset val="134"/>
      </rPr>
      <t>50</t>
    </r>
    <r>
      <rPr>
        <sz val="10"/>
        <color indexed="8"/>
        <rFont val="仿宋_GB2312"/>
        <family val="3"/>
        <charset val="134"/>
      </rPr>
      <t>人*</t>
    </r>
    <r>
      <rPr>
        <sz val="10"/>
        <color rgb="FF000000"/>
        <rFont val="宋体"/>
        <family val="3"/>
        <charset val="134"/>
      </rPr>
      <t>4</t>
    </r>
    <r>
      <rPr>
        <sz val="10"/>
        <color indexed="8"/>
        <rFont val="仿宋_GB2312"/>
        <family val="3"/>
        <charset val="134"/>
      </rPr>
      <t>次</t>
    </r>
    <phoneticPr fontId="3" type="noConversion"/>
  </si>
  <si>
    <r>
      <rPr>
        <sz val="10"/>
        <color rgb="FF000000"/>
        <rFont val="宋体"/>
        <family val="3"/>
        <charset val="134"/>
      </rPr>
      <t>15</t>
    </r>
    <r>
      <rPr>
        <sz val="10"/>
        <color indexed="8"/>
        <rFont val="仿宋_GB2312"/>
        <family val="3"/>
        <charset val="134"/>
      </rPr>
      <t>元/人次*</t>
    </r>
    <r>
      <rPr>
        <sz val="10"/>
        <color rgb="FF000000"/>
        <rFont val="宋体"/>
        <family val="3"/>
        <charset val="134"/>
      </rPr>
      <t>50</t>
    </r>
    <r>
      <rPr>
        <sz val="10"/>
        <color indexed="8"/>
        <rFont val="仿宋_GB2312"/>
        <family val="3"/>
        <charset val="134"/>
      </rPr>
      <t>人*</t>
    </r>
    <r>
      <rPr>
        <sz val="10"/>
        <color rgb="FF000000"/>
        <rFont val="宋体"/>
        <family val="3"/>
        <charset val="134"/>
      </rPr>
      <t>8</t>
    </r>
    <r>
      <rPr>
        <sz val="10"/>
        <color indexed="8"/>
        <rFont val="仿宋_GB2312"/>
        <family val="3"/>
        <charset val="134"/>
      </rPr>
      <t>次</t>
    </r>
    <phoneticPr fontId="3" type="noConversion"/>
  </si>
  <si>
    <r>
      <rPr>
        <sz val="10"/>
        <color rgb="FF000000"/>
        <rFont val="Microsoft YaHei UI"/>
        <family val="3"/>
        <charset val="134"/>
      </rPr>
      <t>500</t>
    </r>
    <r>
      <rPr>
        <sz val="10"/>
        <color indexed="8"/>
        <rFont val="仿宋_GB2312"/>
        <family val="3"/>
        <charset val="134"/>
      </rPr>
      <t>元/</t>
    </r>
    <r>
      <rPr>
        <sz val="10"/>
        <color rgb="FF000000"/>
        <rFont val="Microsoft YaHei UI"/>
        <family val="3"/>
        <charset val="134"/>
      </rPr>
      <t>人天</t>
    </r>
    <r>
      <rPr>
        <sz val="10"/>
        <color indexed="8"/>
        <rFont val="仿宋_GB2312"/>
        <family val="3"/>
        <charset val="134"/>
      </rPr>
      <t>*</t>
    </r>
    <r>
      <rPr>
        <sz val="10"/>
        <color rgb="FF000000"/>
        <rFont val="Microsoft YaHei UI"/>
        <family val="3"/>
        <charset val="134"/>
      </rPr>
      <t>4</t>
    </r>
    <r>
      <rPr>
        <sz val="10"/>
        <color indexed="8"/>
        <rFont val="仿宋_GB2312"/>
        <family val="3"/>
        <charset val="134"/>
      </rPr>
      <t>天</t>
    </r>
    <r>
      <rPr>
        <sz val="10"/>
        <color rgb="FF000000"/>
        <rFont val="Microsoft YaHei UI"/>
        <family val="3"/>
        <charset val="134"/>
      </rPr>
      <t>*3人</t>
    </r>
    <phoneticPr fontId="3" type="noConversion"/>
  </si>
  <si>
    <t>课时标准成本=总收入÷人数÷课时=96500/50/32=60.3125元/人·课时</t>
    <phoneticPr fontId="4" type="noConversion"/>
  </si>
  <si>
    <t>在职：12人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</si>
</sst>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#,##0.00_ "/>
    <numFmt numFmtId="177" formatCode="0.00_ "/>
  </numFmts>
  <fonts count="34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Times New Roman"/>
      <family val="1"/>
    </font>
    <font>
      <b/>
      <sz val="11"/>
      <color indexed="8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8"/>
      <color theme="1"/>
      <name val="等线"/>
      <family val="2"/>
      <charset val="134"/>
      <scheme val="minor"/>
    </font>
    <font>
      <sz val="18"/>
      <color theme="1"/>
      <name val="等线"/>
      <family val="3"/>
      <charset val="134"/>
      <scheme val="minor"/>
    </font>
    <font>
      <sz val="11"/>
      <name val="宋体"/>
      <family val="3"/>
      <charset val="134"/>
    </font>
    <font>
      <b/>
      <sz val="22"/>
      <color indexed="8"/>
      <name val="黑体"/>
      <family val="3"/>
      <charset val="134"/>
    </font>
    <font>
      <sz val="9"/>
      <name val="宋体"/>
      <family val="3"/>
      <charset val="134"/>
    </font>
    <font>
      <sz val="10"/>
      <color indexed="8"/>
      <name val="仿宋_GB2312"/>
      <family val="3"/>
      <charset val="134"/>
    </font>
    <font>
      <sz val="10"/>
      <name val="仿宋_GB2312"/>
      <family val="3"/>
      <charset val="134"/>
    </font>
    <font>
      <sz val="10"/>
      <name val="宋体"/>
      <family val="3"/>
      <charset val="134"/>
    </font>
    <font>
      <sz val="11"/>
      <color indexed="8"/>
      <name val="仿宋_GB2312"/>
      <family val="3"/>
      <charset val="134"/>
    </font>
    <font>
      <sz val="11"/>
      <color rgb="FF000000"/>
      <name val="Microsoft YaHei UI"/>
      <family val="3"/>
      <charset val="134"/>
    </font>
    <font>
      <sz val="11"/>
      <name val="仿宋_GB2312"/>
      <family val="3"/>
      <charset val="134"/>
    </font>
    <font>
      <b/>
      <sz val="11"/>
      <color indexed="8"/>
      <name val="仿宋_GB2312"/>
      <family val="3"/>
      <charset val="134"/>
    </font>
    <font>
      <b/>
      <sz val="10"/>
      <color indexed="8"/>
      <name val="仿宋_GB2312"/>
      <family val="3"/>
      <charset val="134"/>
    </font>
    <font>
      <b/>
      <sz val="12"/>
      <color indexed="8"/>
      <name val="仿宋_GB2312"/>
      <family val="3"/>
      <charset val="134"/>
    </font>
    <font>
      <sz val="10"/>
      <color rgb="FF000000"/>
      <name val="宋体"/>
      <family val="3"/>
      <charset val="134"/>
    </font>
    <font>
      <b/>
      <sz val="11"/>
      <name val="仿宋_GB2312"/>
      <family val="3"/>
      <charset val="134"/>
    </font>
    <font>
      <sz val="10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0"/>
      <color rgb="FF000000"/>
      <name val="Microsoft YaHei UI"/>
      <family val="3"/>
      <charset val="134"/>
    </font>
    <font>
      <sz val="11"/>
      <color rgb="FF000000"/>
      <name val="仿宋_GB2312"/>
      <family val="3"/>
    </font>
    <font>
      <sz val="11"/>
      <color indexed="8"/>
      <name val="仿宋_GB2312"/>
      <family val="3"/>
    </font>
    <font>
      <sz val="10"/>
      <color rgb="FF000000"/>
      <name val="仿宋_GB2312"/>
      <family val="3"/>
    </font>
    <font>
      <sz val="10"/>
      <color indexed="8"/>
      <name val="仿宋_GB2312"/>
      <family val="3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3" fillId="0" borderId="0"/>
  </cellStyleXfs>
  <cellXfs count="100">
    <xf numFmtId="0" fontId="0" fillId="0" borderId="0" xfId="0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vertical="center"/>
    </xf>
    <xf numFmtId="43" fontId="2" fillId="0" borderId="10" xfId="0" applyNumberFormat="1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43" fontId="2" fillId="0" borderId="14" xfId="1" applyFont="1" applyFill="1" applyBorder="1" applyAlignment="1">
      <alignment vertical="center"/>
    </xf>
    <xf numFmtId="0" fontId="2" fillId="0" borderId="9" xfId="0" applyFont="1" applyFill="1" applyBorder="1" applyAlignment="1">
      <alignment horizontal="center" vertical="center"/>
    </xf>
    <xf numFmtId="43" fontId="2" fillId="0" borderId="10" xfId="1" applyFont="1" applyFill="1" applyBorder="1" applyAlignment="1">
      <alignment vertical="center"/>
    </xf>
    <xf numFmtId="43" fontId="2" fillId="0" borderId="15" xfId="1" applyFont="1" applyFill="1" applyBorder="1" applyAlignment="1">
      <alignment vertical="center"/>
    </xf>
    <xf numFmtId="43" fontId="7" fillId="0" borderId="17" xfId="1" applyFont="1" applyFill="1" applyBorder="1" applyAlignment="1">
      <alignment vertical="center"/>
    </xf>
    <xf numFmtId="0" fontId="10" fillId="0" borderId="18" xfId="0" applyFont="1" applyFill="1" applyBorder="1" applyAlignment="1">
      <alignment vertical="center"/>
    </xf>
    <xf numFmtId="0" fontId="7" fillId="0" borderId="19" xfId="0" applyFont="1" applyFill="1" applyBorder="1" applyAlignment="1">
      <alignment vertical="center"/>
    </xf>
    <xf numFmtId="49" fontId="8" fillId="0" borderId="19" xfId="0" applyNumberFormat="1" applyFont="1" applyFill="1" applyBorder="1" applyAlignment="1">
      <alignment vertical="center"/>
    </xf>
    <xf numFmtId="49" fontId="8" fillId="0" borderId="20" xfId="0" applyNumberFormat="1" applyFont="1" applyFill="1" applyBorder="1" applyAlignment="1">
      <alignment vertical="center"/>
    </xf>
    <xf numFmtId="0" fontId="13" fillId="0" borderId="0" xfId="2"/>
    <xf numFmtId="0" fontId="16" fillId="0" borderId="0" xfId="2" applyFont="1" applyAlignment="1">
      <alignment horizontal="left" vertical="center"/>
    </xf>
    <xf numFmtId="0" fontId="16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7" fillId="0" borderId="0" xfId="2" applyFont="1" applyAlignment="1">
      <alignment horizontal="right" vertical="center"/>
    </xf>
    <xf numFmtId="0" fontId="18" fillId="0" borderId="0" xfId="2" applyFont="1"/>
    <xf numFmtId="0" fontId="19" fillId="0" borderId="1" xfId="2" applyFont="1" applyBorder="1" applyAlignment="1">
      <alignment horizontal="center" vertical="center"/>
    </xf>
    <xf numFmtId="0" fontId="21" fillId="0" borderId="1" xfId="2" applyFont="1" applyBorder="1" applyAlignment="1">
      <alignment horizontal="center" vertical="center"/>
    </xf>
    <xf numFmtId="0" fontId="22" fillId="0" borderId="1" xfId="2" applyFont="1" applyBorder="1" applyAlignment="1">
      <alignment horizontal="center" vertical="center"/>
    </xf>
    <xf numFmtId="4" fontId="21" fillId="0" borderId="1" xfId="2" applyNumberFormat="1" applyFont="1" applyBorder="1" applyAlignment="1">
      <alignment horizontal="center" vertical="center"/>
    </xf>
    <xf numFmtId="0" fontId="13" fillId="0" borderId="1" xfId="2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4" fontId="21" fillId="0" borderId="23" xfId="2" applyNumberFormat="1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0" fontId="23" fillId="0" borderId="4" xfId="2" applyFont="1" applyBorder="1" applyAlignment="1">
      <alignment horizontal="center" vertical="center"/>
    </xf>
    <xf numFmtId="0" fontId="21" fillId="0" borderId="4" xfId="2" applyFont="1" applyBorder="1" applyAlignment="1">
      <alignment horizontal="center" vertical="center"/>
    </xf>
    <xf numFmtId="0" fontId="16" fillId="0" borderId="26" xfId="2" applyFont="1" applyBorder="1" applyAlignment="1">
      <alignment horizontal="center" vertical="center"/>
    </xf>
    <xf numFmtId="0" fontId="23" fillId="0" borderId="27" xfId="2" applyFont="1" applyBorder="1" applyAlignment="1">
      <alignment horizontal="center" vertical="center"/>
    </xf>
    <xf numFmtId="0" fontId="21" fillId="0" borderId="27" xfId="2" applyFont="1" applyBorder="1" applyAlignment="1">
      <alignment horizontal="center" vertical="center"/>
    </xf>
    <xf numFmtId="0" fontId="21" fillId="0" borderId="28" xfId="2" applyFont="1" applyBorder="1" applyAlignment="1">
      <alignment horizontal="center" vertical="center"/>
    </xf>
    <xf numFmtId="0" fontId="19" fillId="0" borderId="3" xfId="2" applyFont="1" applyBorder="1" applyAlignment="1">
      <alignment horizontal="center" vertical="center"/>
    </xf>
    <xf numFmtId="0" fontId="22" fillId="0" borderId="3" xfId="2" applyFont="1" applyBorder="1" applyAlignment="1">
      <alignment horizontal="center" vertical="center"/>
    </xf>
    <xf numFmtId="0" fontId="21" fillId="0" borderId="3" xfId="2" applyFont="1" applyBorder="1" applyAlignment="1">
      <alignment horizontal="center" vertical="center"/>
    </xf>
    <xf numFmtId="0" fontId="16" fillId="0" borderId="1" xfId="2" applyFont="1" applyBorder="1" applyAlignment="1">
      <alignment horizontal="left" vertical="center" wrapText="1"/>
    </xf>
    <xf numFmtId="0" fontId="26" fillId="0" borderId="1" xfId="2" applyFont="1" applyBorder="1" applyAlignment="1">
      <alignment horizontal="center" vertical="center" wrapText="1"/>
    </xf>
    <xf numFmtId="0" fontId="16" fillId="0" borderId="4" xfId="2" applyFont="1" applyBorder="1" applyAlignment="1">
      <alignment horizontal="left" vertical="center" wrapText="1"/>
    </xf>
    <xf numFmtId="0" fontId="16" fillId="0" borderId="4" xfId="2" applyFont="1" applyBorder="1" applyAlignment="1">
      <alignment horizontal="center" vertical="center"/>
    </xf>
    <xf numFmtId="0" fontId="16" fillId="0" borderId="29" xfId="2" applyFont="1" applyBorder="1" applyAlignment="1">
      <alignment horizontal="center" vertical="center"/>
    </xf>
    <xf numFmtId="0" fontId="24" fillId="0" borderId="27" xfId="2" applyFont="1" applyBorder="1" applyAlignment="1">
      <alignment horizontal="center" vertical="center"/>
    </xf>
    <xf numFmtId="176" fontId="24" fillId="0" borderId="27" xfId="2" applyNumberFormat="1" applyFont="1" applyBorder="1" applyAlignment="1">
      <alignment horizontal="center" vertical="center"/>
    </xf>
    <xf numFmtId="0" fontId="27" fillId="0" borderId="0" xfId="2" applyFont="1" applyAlignment="1">
      <alignment horizontal="center" vertical="center"/>
    </xf>
    <xf numFmtId="0" fontId="27" fillId="0" borderId="0" xfId="2" applyFont="1" applyAlignment="1">
      <alignment vertical="center"/>
    </xf>
    <xf numFmtId="0" fontId="28" fillId="0" borderId="0" xfId="2" applyFont="1" applyAlignment="1">
      <alignment vertical="center"/>
    </xf>
    <xf numFmtId="0" fontId="9" fillId="0" borderId="10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4" fontId="21" fillId="0" borderId="23" xfId="2" applyNumberFormat="1" applyFont="1" applyBorder="1" applyAlignment="1">
      <alignment vertical="center"/>
    </xf>
    <xf numFmtId="4" fontId="21" fillId="0" borderId="1" xfId="2" applyNumberFormat="1" applyFont="1" applyBorder="1" applyAlignment="1">
      <alignment vertical="center"/>
    </xf>
    <xf numFmtId="4" fontId="21" fillId="0" borderId="23" xfId="2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33" fillId="0" borderId="1" xfId="2" applyFont="1" applyBorder="1" applyAlignment="1">
      <alignment horizontal="left" vertical="center" wrapText="1"/>
    </xf>
    <xf numFmtId="0" fontId="7" fillId="0" borderId="18" xfId="0" applyFont="1" applyFill="1" applyBorder="1" applyAlignment="1">
      <alignment vertical="center"/>
    </xf>
    <xf numFmtId="0" fontId="22" fillId="0" borderId="1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31" fontId="17" fillId="0" borderId="22" xfId="2" applyNumberFormat="1" applyFont="1" applyBorder="1" applyAlignment="1">
      <alignment horizontal="center" vertical="center"/>
    </xf>
    <xf numFmtId="0" fontId="17" fillId="0" borderId="22" xfId="2" applyFont="1" applyBorder="1" applyAlignment="1">
      <alignment horizontal="center" vertical="center"/>
    </xf>
    <xf numFmtId="0" fontId="19" fillId="0" borderId="23" xfId="2" applyFont="1" applyBorder="1" applyAlignment="1">
      <alignment horizontal="center" vertical="center"/>
    </xf>
    <xf numFmtId="0" fontId="19" fillId="0" borderId="24" xfId="2" applyFont="1" applyBorder="1" applyAlignment="1">
      <alignment horizontal="center" vertical="center"/>
    </xf>
    <xf numFmtId="0" fontId="19" fillId="0" borderId="25" xfId="2" applyFont="1" applyBorder="1" applyAlignment="1">
      <alignment horizontal="center" vertical="center"/>
    </xf>
    <xf numFmtId="4" fontId="21" fillId="0" borderId="23" xfId="2" applyNumberFormat="1" applyFont="1" applyBorder="1" applyAlignment="1">
      <alignment horizontal="center" vertical="center"/>
    </xf>
    <xf numFmtId="4" fontId="21" fillId="0" borderId="25" xfId="2" applyNumberFormat="1" applyFont="1" applyBorder="1" applyAlignment="1">
      <alignment horizontal="center" vertical="center"/>
    </xf>
    <xf numFmtId="0" fontId="31" fillId="0" borderId="1" xfId="2" applyFont="1" applyBorder="1" applyAlignment="1">
      <alignment horizontal="center" vertical="center"/>
    </xf>
    <xf numFmtId="0" fontId="19" fillId="0" borderId="1" xfId="2" applyFont="1" applyBorder="1" applyAlignment="1">
      <alignment horizontal="center" vertical="center"/>
    </xf>
    <xf numFmtId="0" fontId="25" fillId="0" borderId="23" xfId="2" applyFont="1" applyBorder="1" applyAlignment="1">
      <alignment horizontal="center" vertical="center"/>
    </xf>
    <xf numFmtId="0" fontId="16" fillId="0" borderId="24" xfId="2" applyFont="1" applyBorder="1" applyAlignment="1">
      <alignment horizontal="center" vertical="center"/>
    </xf>
    <xf numFmtId="0" fontId="16" fillId="0" borderId="25" xfId="2" applyFont="1" applyBorder="1" applyAlignment="1">
      <alignment horizontal="center" vertical="center"/>
    </xf>
    <xf numFmtId="0" fontId="16" fillId="0" borderId="23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0" fontId="23" fillId="0" borderId="4" xfId="2" applyFont="1" applyBorder="1" applyAlignment="1">
      <alignment horizontal="center" vertical="center"/>
    </xf>
    <xf numFmtId="0" fontId="24" fillId="0" borderId="27" xfId="2" applyFont="1" applyBorder="1" applyAlignment="1">
      <alignment horizontal="center" vertical="center"/>
    </xf>
    <xf numFmtId="0" fontId="22" fillId="0" borderId="3" xfId="2" applyFont="1" applyBorder="1" applyAlignment="1">
      <alignment horizontal="center" vertical="center"/>
    </xf>
    <xf numFmtId="0" fontId="25" fillId="0" borderId="24" xfId="2" applyFont="1" applyBorder="1" applyAlignment="1">
      <alignment horizontal="center" vertical="center"/>
    </xf>
    <xf numFmtId="0" fontId="25" fillId="0" borderId="2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0" fontId="24" fillId="0" borderId="26" xfId="2" applyFont="1" applyBorder="1" applyAlignment="1">
      <alignment horizontal="center" vertical="center"/>
    </xf>
    <xf numFmtId="0" fontId="28" fillId="0" borderId="0" xfId="2" applyFont="1" applyAlignment="1">
      <alignment horizontal="left" vertical="center"/>
    </xf>
    <xf numFmtId="0" fontId="11" fillId="0" borderId="21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left" vertical="center"/>
    </xf>
    <xf numFmtId="0" fontId="2" fillId="0" borderId="24" xfId="0" applyFont="1" applyFill="1" applyBorder="1" applyAlignment="1">
      <alignment horizontal="left" vertical="center"/>
    </xf>
    <xf numFmtId="0" fontId="2" fillId="0" borderId="25" xfId="0" applyFont="1" applyFill="1" applyBorder="1" applyAlignment="1">
      <alignment horizontal="left" vertical="center"/>
    </xf>
    <xf numFmtId="0" fontId="2" fillId="0" borderId="30" xfId="0" applyFont="1" applyFill="1" applyBorder="1" applyAlignment="1">
      <alignment horizontal="left" vertical="center"/>
    </xf>
    <xf numFmtId="0" fontId="2" fillId="0" borderId="31" xfId="0" applyFont="1" applyFill="1" applyBorder="1" applyAlignment="1">
      <alignment horizontal="left" vertical="center"/>
    </xf>
    <xf numFmtId="0" fontId="2" fillId="0" borderId="32" xfId="0" applyFont="1" applyFill="1" applyBorder="1" applyAlignment="1">
      <alignment horizontal="left" vertical="center"/>
    </xf>
  </cellXfs>
  <cellStyles count="3">
    <cellStyle name="常规" xfId="0" builtinId="0"/>
    <cellStyle name="常规 2" xfId="2" xr:uid="{5DC26295-9F51-4364-BF90-88DAC99A7799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DF7E8-AACA-49C3-9F1C-5697D896CF05}">
  <sheetPr>
    <pageSetUpPr fitToPage="1"/>
  </sheetPr>
  <dimension ref="A1:G36"/>
  <sheetViews>
    <sheetView tabSelected="1" topLeftCell="A4" zoomScaleNormal="100" workbookViewId="0">
      <selection activeCell="F13" sqref="F13"/>
    </sheetView>
  </sheetViews>
  <sheetFormatPr defaultRowHeight="14.25" customHeight="1"/>
  <cols>
    <col min="1" max="1" width="8.875" style="21" customWidth="1"/>
    <col min="2" max="2" width="13.5" style="21" customWidth="1"/>
    <col min="3" max="3" width="9" style="21"/>
    <col min="4" max="4" width="3.375" style="21" customWidth="1"/>
    <col min="5" max="5" width="28.375" style="21" customWidth="1"/>
    <col min="6" max="6" width="16.875" style="21" customWidth="1"/>
    <col min="7" max="7" width="25" style="21" customWidth="1"/>
    <col min="8" max="249" width="9" style="21"/>
    <col min="250" max="250" width="8.875" style="21" customWidth="1"/>
    <col min="251" max="251" width="13.5" style="21" customWidth="1"/>
    <col min="252" max="252" width="9" style="21"/>
    <col min="253" max="253" width="3.375" style="21" customWidth="1"/>
    <col min="254" max="254" width="28.375" style="21" customWidth="1"/>
    <col min="255" max="255" width="16.875" style="21" customWidth="1"/>
    <col min="256" max="256" width="25" style="21" customWidth="1"/>
    <col min="257" max="505" width="9" style="21"/>
    <col min="506" max="506" width="8.875" style="21" customWidth="1"/>
    <col min="507" max="507" width="13.5" style="21" customWidth="1"/>
    <col min="508" max="508" width="9" style="21"/>
    <col min="509" max="509" width="3.375" style="21" customWidth="1"/>
    <col min="510" max="510" width="28.375" style="21" customWidth="1"/>
    <col min="511" max="511" width="16.875" style="21" customWidth="1"/>
    <col min="512" max="512" width="25" style="21" customWidth="1"/>
    <col min="513" max="761" width="9" style="21"/>
    <col min="762" max="762" width="8.875" style="21" customWidth="1"/>
    <col min="763" max="763" width="13.5" style="21" customWidth="1"/>
    <col min="764" max="764" width="9" style="21"/>
    <col min="765" max="765" width="3.375" style="21" customWidth="1"/>
    <col min="766" max="766" width="28.375" style="21" customWidth="1"/>
    <col min="767" max="767" width="16.875" style="21" customWidth="1"/>
    <col min="768" max="768" width="25" style="21" customWidth="1"/>
    <col min="769" max="1017" width="9" style="21"/>
    <col min="1018" max="1018" width="8.875" style="21" customWidth="1"/>
    <col min="1019" max="1019" width="13.5" style="21" customWidth="1"/>
    <col min="1020" max="1020" width="9" style="21"/>
    <col min="1021" max="1021" width="3.375" style="21" customWidth="1"/>
    <col min="1022" max="1022" width="28.375" style="21" customWidth="1"/>
    <col min="1023" max="1023" width="16.875" style="21" customWidth="1"/>
    <col min="1024" max="1024" width="25" style="21" customWidth="1"/>
    <col min="1025" max="1273" width="9" style="21"/>
    <col min="1274" max="1274" width="8.875" style="21" customWidth="1"/>
    <col min="1275" max="1275" width="13.5" style="21" customWidth="1"/>
    <col min="1276" max="1276" width="9" style="21"/>
    <col min="1277" max="1277" width="3.375" style="21" customWidth="1"/>
    <col min="1278" max="1278" width="28.375" style="21" customWidth="1"/>
    <col min="1279" max="1279" width="16.875" style="21" customWidth="1"/>
    <col min="1280" max="1280" width="25" style="21" customWidth="1"/>
    <col min="1281" max="1529" width="9" style="21"/>
    <col min="1530" max="1530" width="8.875" style="21" customWidth="1"/>
    <col min="1531" max="1531" width="13.5" style="21" customWidth="1"/>
    <col min="1532" max="1532" width="9" style="21"/>
    <col min="1533" max="1533" width="3.375" style="21" customWidth="1"/>
    <col min="1534" max="1534" width="28.375" style="21" customWidth="1"/>
    <col min="1535" max="1535" width="16.875" style="21" customWidth="1"/>
    <col min="1536" max="1536" width="25" style="21" customWidth="1"/>
    <col min="1537" max="1785" width="9" style="21"/>
    <col min="1786" max="1786" width="8.875" style="21" customWidth="1"/>
    <col min="1787" max="1787" width="13.5" style="21" customWidth="1"/>
    <col min="1788" max="1788" width="9" style="21"/>
    <col min="1789" max="1789" width="3.375" style="21" customWidth="1"/>
    <col min="1790" max="1790" width="28.375" style="21" customWidth="1"/>
    <col min="1791" max="1791" width="16.875" style="21" customWidth="1"/>
    <col min="1792" max="1792" width="25" style="21" customWidth="1"/>
    <col min="1793" max="2041" width="9" style="21"/>
    <col min="2042" max="2042" width="8.875" style="21" customWidth="1"/>
    <col min="2043" max="2043" width="13.5" style="21" customWidth="1"/>
    <col min="2044" max="2044" width="9" style="21"/>
    <col min="2045" max="2045" width="3.375" style="21" customWidth="1"/>
    <col min="2046" max="2046" width="28.375" style="21" customWidth="1"/>
    <col min="2047" max="2047" width="16.875" style="21" customWidth="1"/>
    <col min="2048" max="2048" width="25" style="21" customWidth="1"/>
    <col min="2049" max="2297" width="9" style="21"/>
    <col min="2298" max="2298" width="8.875" style="21" customWidth="1"/>
    <col min="2299" max="2299" width="13.5" style="21" customWidth="1"/>
    <col min="2300" max="2300" width="9" style="21"/>
    <col min="2301" max="2301" width="3.375" style="21" customWidth="1"/>
    <col min="2302" max="2302" width="28.375" style="21" customWidth="1"/>
    <col min="2303" max="2303" width="16.875" style="21" customWidth="1"/>
    <col min="2304" max="2304" width="25" style="21" customWidth="1"/>
    <col min="2305" max="2553" width="9" style="21"/>
    <col min="2554" max="2554" width="8.875" style="21" customWidth="1"/>
    <col min="2555" max="2555" width="13.5" style="21" customWidth="1"/>
    <col min="2556" max="2556" width="9" style="21"/>
    <col min="2557" max="2557" width="3.375" style="21" customWidth="1"/>
    <col min="2558" max="2558" width="28.375" style="21" customWidth="1"/>
    <col min="2559" max="2559" width="16.875" style="21" customWidth="1"/>
    <col min="2560" max="2560" width="25" style="21" customWidth="1"/>
    <col min="2561" max="2809" width="9" style="21"/>
    <col min="2810" max="2810" width="8.875" style="21" customWidth="1"/>
    <col min="2811" max="2811" width="13.5" style="21" customWidth="1"/>
    <col min="2812" max="2812" width="9" style="21"/>
    <col min="2813" max="2813" width="3.375" style="21" customWidth="1"/>
    <col min="2814" max="2814" width="28.375" style="21" customWidth="1"/>
    <col min="2815" max="2815" width="16.875" style="21" customWidth="1"/>
    <col min="2816" max="2816" width="25" style="21" customWidth="1"/>
    <col min="2817" max="3065" width="9" style="21"/>
    <col min="3066" max="3066" width="8.875" style="21" customWidth="1"/>
    <col min="3067" max="3067" width="13.5" style="21" customWidth="1"/>
    <col min="3068" max="3068" width="9" style="21"/>
    <col min="3069" max="3069" width="3.375" style="21" customWidth="1"/>
    <col min="3070" max="3070" width="28.375" style="21" customWidth="1"/>
    <col min="3071" max="3071" width="16.875" style="21" customWidth="1"/>
    <col min="3072" max="3072" width="25" style="21" customWidth="1"/>
    <col min="3073" max="3321" width="9" style="21"/>
    <col min="3322" max="3322" width="8.875" style="21" customWidth="1"/>
    <col min="3323" max="3323" width="13.5" style="21" customWidth="1"/>
    <col min="3324" max="3324" width="9" style="21"/>
    <col min="3325" max="3325" width="3.375" style="21" customWidth="1"/>
    <col min="3326" max="3326" width="28.375" style="21" customWidth="1"/>
    <col min="3327" max="3327" width="16.875" style="21" customWidth="1"/>
    <col min="3328" max="3328" width="25" style="21" customWidth="1"/>
    <col min="3329" max="3577" width="9" style="21"/>
    <col min="3578" max="3578" width="8.875" style="21" customWidth="1"/>
    <col min="3579" max="3579" width="13.5" style="21" customWidth="1"/>
    <col min="3580" max="3580" width="9" style="21"/>
    <col min="3581" max="3581" width="3.375" style="21" customWidth="1"/>
    <col min="3582" max="3582" width="28.375" style="21" customWidth="1"/>
    <col min="3583" max="3583" width="16.875" style="21" customWidth="1"/>
    <col min="3584" max="3584" width="25" style="21" customWidth="1"/>
    <col min="3585" max="3833" width="9" style="21"/>
    <col min="3834" max="3834" width="8.875" style="21" customWidth="1"/>
    <col min="3835" max="3835" width="13.5" style="21" customWidth="1"/>
    <col min="3836" max="3836" width="9" style="21"/>
    <col min="3837" max="3837" width="3.375" style="21" customWidth="1"/>
    <col min="3838" max="3838" width="28.375" style="21" customWidth="1"/>
    <col min="3839" max="3839" width="16.875" style="21" customWidth="1"/>
    <col min="3840" max="3840" width="25" style="21" customWidth="1"/>
    <col min="3841" max="4089" width="9" style="21"/>
    <col min="4090" max="4090" width="8.875" style="21" customWidth="1"/>
    <col min="4091" max="4091" width="13.5" style="21" customWidth="1"/>
    <col min="4092" max="4092" width="9" style="21"/>
    <col min="4093" max="4093" width="3.375" style="21" customWidth="1"/>
    <col min="4094" max="4094" width="28.375" style="21" customWidth="1"/>
    <col min="4095" max="4095" width="16.875" style="21" customWidth="1"/>
    <col min="4096" max="4096" width="25" style="21" customWidth="1"/>
    <col min="4097" max="4345" width="9" style="21"/>
    <col min="4346" max="4346" width="8.875" style="21" customWidth="1"/>
    <col min="4347" max="4347" width="13.5" style="21" customWidth="1"/>
    <col min="4348" max="4348" width="9" style="21"/>
    <col min="4349" max="4349" width="3.375" style="21" customWidth="1"/>
    <col min="4350" max="4350" width="28.375" style="21" customWidth="1"/>
    <col min="4351" max="4351" width="16.875" style="21" customWidth="1"/>
    <col min="4352" max="4352" width="25" style="21" customWidth="1"/>
    <col min="4353" max="4601" width="9" style="21"/>
    <col min="4602" max="4602" width="8.875" style="21" customWidth="1"/>
    <col min="4603" max="4603" width="13.5" style="21" customWidth="1"/>
    <col min="4604" max="4604" width="9" style="21"/>
    <col min="4605" max="4605" width="3.375" style="21" customWidth="1"/>
    <col min="4606" max="4606" width="28.375" style="21" customWidth="1"/>
    <col min="4607" max="4607" width="16.875" style="21" customWidth="1"/>
    <col min="4608" max="4608" width="25" style="21" customWidth="1"/>
    <col min="4609" max="4857" width="9" style="21"/>
    <col min="4858" max="4858" width="8.875" style="21" customWidth="1"/>
    <col min="4859" max="4859" width="13.5" style="21" customWidth="1"/>
    <col min="4860" max="4860" width="9" style="21"/>
    <col min="4861" max="4861" width="3.375" style="21" customWidth="1"/>
    <col min="4862" max="4862" width="28.375" style="21" customWidth="1"/>
    <col min="4863" max="4863" width="16.875" style="21" customWidth="1"/>
    <col min="4864" max="4864" width="25" style="21" customWidth="1"/>
    <col min="4865" max="5113" width="9" style="21"/>
    <col min="5114" max="5114" width="8.875" style="21" customWidth="1"/>
    <col min="5115" max="5115" width="13.5" style="21" customWidth="1"/>
    <col min="5116" max="5116" width="9" style="21"/>
    <col min="5117" max="5117" width="3.375" style="21" customWidth="1"/>
    <col min="5118" max="5118" width="28.375" style="21" customWidth="1"/>
    <col min="5119" max="5119" width="16.875" style="21" customWidth="1"/>
    <col min="5120" max="5120" width="25" style="21" customWidth="1"/>
    <col min="5121" max="5369" width="9" style="21"/>
    <col min="5370" max="5370" width="8.875" style="21" customWidth="1"/>
    <col min="5371" max="5371" width="13.5" style="21" customWidth="1"/>
    <col min="5372" max="5372" width="9" style="21"/>
    <col min="5373" max="5373" width="3.375" style="21" customWidth="1"/>
    <col min="5374" max="5374" width="28.375" style="21" customWidth="1"/>
    <col min="5375" max="5375" width="16.875" style="21" customWidth="1"/>
    <col min="5376" max="5376" width="25" style="21" customWidth="1"/>
    <col min="5377" max="5625" width="9" style="21"/>
    <col min="5626" max="5626" width="8.875" style="21" customWidth="1"/>
    <col min="5627" max="5627" width="13.5" style="21" customWidth="1"/>
    <col min="5628" max="5628" width="9" style="21"/>
    <col min="5629" max="5629" width="3.375" style="21" customWidth="1"/>
    <col min="5630" max="5630" width="28.375" style="21" customWidth="1"/>
    <col min="5631" max="5631" width="16.875" style="21" customWidth="1"/>
    <col min="5632" max="5632" width="25" style="21" customWidth="1"/>
    <col min="5633" max="5881" width="9" style="21"/>
    <col min="5882" max="5882" width="8.875" style="21" customWidth="1"/>
    <col min="5883" max="5883" width="13.5" style="21" customWidth="1"/>
    <col min="5884" max="5884" width="9" style="21"/>
    <col min="5885" max="5885" width="3.375" style="21" customWidth="1"/>
    <col min="5886" max="5886" width="28.375" style="21" customWidth="1"/>
    <col min="5887" max="5887" width="16.875" style="21" customWidth="1"/>
    <col min="5888" max="5888" width="25" style="21" customWidth="1"/>
    <col min="5889" max="6137" width="9" style="21"/>
    <col min="6138" max="6138" width="8.875" style="21" customWidth="1"/>
    <col min="6139" max="6139" width="13.5" style="21" customWidth="1"/>
    <col min="6140" max="6140" width="9" style="21"/>
    <col min="6141" max="6141" width="3.375" style="21" customWidth="1"/>
    <col min="6142" max="6142" width="28.375" style="21" customWidth="1"/>
    <col min="6143" max="6143" width="16.875" style="21" customWidth="1"/>
    <col min="6144" max="6144" width="25" style="21" customWidth="1"/>
    <col min="6145" max="6393" width="9" style="21"/>
    <col min="6394" max="6394" width="8.875" style="21" customWidth="1"/>
    <col min="6395" max="6395" width="13.5" style="21" customWidth="1"/>
    <col min="6396" max="6396" width="9" style="21"/>
    <col min="6397" max="6397" width="3.375" style="21" customWidth="1"/>
    <col min="6398" max="6398" width="28.375" style="21" customWidth="1"/>
    <col min="6399" max="6399" width="16.875" style="21" customWidth="1"/>
    <col min="6400" max="6400" width="25" style="21" customWidth="1"/>
    <col min="6401" max="6649" width="9" style="21"/>
    <col min="6650" max="6650" width="8.875" style="21" customWidth="1"/>
    <col min="6651" max="6651" width="13.5" style="21" customWidth="1"/>
    <col min="6652" max="6652" width="9" style="21"/>
    <col min="6653" max="6653" width="3.375" style="21" customWidth="1"/>
    <col min="6654" max="6654" width="28.375" style="21" customWidth="1"/>
    <col min="6655" max="6655" width="16.875" style="21" customWidth="1"/>
    <col min="6656" max="6656" width="25" style="21" customWidth="1"/>
    <col min="6657" max="6905" width="9" style="21"/>
    <col min="6906" max="6906" width="8.875" style="21" customWidth="1"/>
    <col min="6907" max="6907" width="13.5" style="21" customWidth="1"/>
    <col min="6908" max="6908" width="9" style="21"/>
    <col min="6909" max="6909" width="3.375" style="21" customWidth="1"/>
    <col min="6910" max="6910" width="28.375" style="21" customWidth="1"/>
    <col min="6911" max="6911" width="16.875" style="21" customWidth="1"/>
    <col min="6912" max="6912" width="25" style="21" customWidth="1"/>
    <col min="6913" max="7161" width="9" style="21"/>
    <col min="7162" max="7162" width="8.875" style="21" customWidth="1"/>
    <col min="7163" max="7163" width="13.5" style="21" customWidth="1"/>
    <col min="7164" max="7164" width="9" style="21"/>
    <col min="7165" max="7165" width="3.375" style="21" customWidth="1"/>
    <col min="7166" max="7166" width="28.375" style="21" customWidth="1"/>
    <col min="7167" max="7167" width="16.875" style="21" customWidth="1"/>
    <col min="7168" max="7168" width="25" style="21" customWidth="1"/>
    <col min="7169" max="7417" width="9" style="21"/>
    <col min="7418" max="7418" width="8.875" style="21" customWidth="1"/>
    <col min="7419" max="7419" width="13.5" style="21" customWidth="1"/>
    <col min="7420" max="7420" width="9" style="21"/>
    <col min="7421" max="7421" width="3.375" style="21" customWidth="1"/>
    <col min="7422" max="7422" width="28.375" style="21" customWidth="1"/>
    <col min="7423" max="7423" width="16.875" style="21" customWidth="1"/>
    <col min="7424" max="7424" width="25" style="21" customWidth="1"/>
    <col min="7425" max="7673" width="9" style="21"/>
    <col min="7674" max="7674" width="8.875" style="21" customWidth="1"/>
    <col min="7675" max="7675" width="13.5" style="21" customWidth="1"/>
    <col min="7676" max="7676" width="9" style="21"/>
    <col min="7677" max="7677" width="3.375" style="21" customWidth="1"/>
    <col min="7678" max="7678" width="28.375" style="21" customWidth="1"/>
    <col min="7679" max="7679" width="16.875" style="21" customWidth="1"/>
    <col min="7680" max="7680" width="25" style="21" customWidth="1"/>
    <col min="7681" max="7929" width="9" style="21"/>
    <col min="7930" max="7930" width="8.875" style="21" customWidth="1"/>
    <col min="7931" max="7931" width="13.5" style="21" customWidth="1"/>
    <col min="7932" max="7932" width="9" style="21"/>
    <col min="7933" max="7933" width="3.375" style="21" customWidth="1"/>
    <col min="7934" max="7934" width="28.375" style="21" customWidth="1"/>
    <col min="7935" max="7935" width="16.875" style="21" customWidth="1"/>
    <col min="7936" max="7936" width="25" style="21" customWidth="1"/>
    <col min="7937" max="8185" width="9" style="21"/>
    <col min="8186" max="8186" width="8.875" style="21" customWidth="1"/>
    <col min="8187" max="8187" width="13.5" style="21" customWidth="1"/>
    <col min="8188" max="8188" width="9" style="21"/>
    <col min="8189" max="8189" width="3.375" style="21" customWidth="1"/>
    <col min="8190" max="8190" width="28.375" style="21" customWidth="1"/>
    <col min="8191" max="8191" width="16.875" style="21" customWidth="1"/>
    <col min="8192" max="8192" width="25" style="21" customWidth="1"/>
    <col min="8193" max="8441" width="9" style="21"/>
    <col min="8442" max="8442" width="8.875" style="21" customWidth="1"/>
    <col min="8443" max="8443" width="13.5" style="21" customWidth="1"/>
    <col min="8444" max="8444" width="9" style="21"/>
    <col min="8445" max="8445" width="3.375" style="21" customWidth="1"/>
    <col min="8446" max="8446" width="28.375" style="21" customWidth="1"/>
    <col min="8447" max="8447" width="16.875" style="21" customWidth="1"/>
    <col min="8448" max="8448" width="25" style="21" customWidth="1"/>
    <col min="8449" max="8697" width="9" style="21"/>
    <col min="8698" max="8698" width="8.875" style="21" customWidth="1"/>
    <col min="8699" max="8699" width="13.5" style="21" customWidth="1"/>
    <col min="8700" max="8700" width="9" style="21"/>
    <col min="8701" max="8701" width="3.375" style="21" customWidth="1"/>
    <col min="8702" max="8702" width="28.375" style="21" customWidth="1"/>
    <col min="8703" max="8703" width="16.875" style="21" customWidth="1"/>
    <col min="8704" max="8704" width="25" style="21" customWidth="1"/>
    <col min="8705" max="8953" width="9" style="21"/>
    <col min="8954" max="8954" width="8.875" style="21" customWidth="1"/>
    <col min="8955" max="8955" width="13.5" style="21" customWidth="1"/>
    <col min="8956" max="8956" width="9" style="21"/>
    <col min="8957" max="8957" width="3.375" style="21" customWidth="1"/>
    <col min="8958" max="8958" width="28.375" style="21" customWidth="1"/>
    <col min="8959" max="8959" width="16.875" style="21" customWidth="1"/>
    <col min="8960" max="8960" width="25" style="21" customWidth="1"/>
    <col min="8961" max="9209" width="9" style="21"/>
    <col min="9210" max="9210" width="8.875" style="21" customWidth="1"/>
    <col min="9211" max="9211" width="13.5" style="21" customWidth="1"/>
    <col min="9212" max="9212" width="9" style="21"/>
    <col min="9213" max="9213" width="3.375" style="21" customWidth="1"/>
    <col min="9214" max="9214" width="28.375" style="21" customWidth="1"/>
    <col min="9215" max="9215" width="16.875" style="21" customWidth="1"/>
    <col min="9216" max="9216" width="25" style="21" customWidth="1"/>
    <col min="9217" max="9465" width="9" style="21"/>
    <col min="9466" max="9466" width="8.875" style="21" customWidth="1"/>
    <col min="9467" max="9467" width="13.5" style="21" customWidth="1"/>
    <col min="9468" max="9468" width="9" style="21"/>
    <col min="9469" max="9469" width="3.375" style="21" customWidth="1"/>
    <col min="9470" max="9470" width="28.375" style="21" customWidth="1"/>
    <col min="9471" max="9471" width="16.875" style="21" customWidth="1"/>
    <col min="9472" max="9472" width="25" style="21" customWidth="1"/>
    <col min="9473" max="9721" width="9" style="21"/>
    <col min="9722" max="9722" width="8.875" style="21" customWidth="1"/>
    <col min="9723" max="9723" width="13.5" style="21" customWidth="1"/>
    <col min="9724" max="9724" width="9" style="21"/>
    <col min="9725" max="9725" width="3.375" style="21" customWidth="1"/>
    <col min="9726" max="9726" width="28.375" style="21" customWidth="1"/>
    <col min="9727" max="9727" width="16.875" style="21" customWidth="1"/>
    <col min="9728" max="9728" width="25" style="21" customWidth="1"/>
    <col min="9729" max="9977" width="9" style="21"/>
    <col min="9978" max="9978" width="8.875" style="21" customWidth="1"/>
    <col min="9979" max="9979" width="13.5" style="21" customWidth="1"/>
    <col min="9980" max="9980" width="9" style="21"/>
    <col min="9981" max="9981" width="3.375" style="21" customWidth="1"/>
    <col min="9982" max="9982" width="28.375" style="21" customWidth="1"/>
    <col min="9983" max="9983" width="16.875" style="21" customWidth="1"/>
    <col min="9984" max="9984" width="25" style="21" customWidth="1"/>
    <col min="9985" max="10233" width="9" style="21"/>
    <col min="10234" max="10234" width="8.875" style="21" customWidth="1"/>
    <col min="10235" max="10235" width="13.5" style="21" customWidth="1"/>
    <col min="10236" max="10236" width="9" style="21"/>
    <col min="10237" max="10237" width="3.375" style="21" customWidth="1"/>
    <col min="10238" max="10238" width="28.375" style="21" customWidth="1"/>
    <col min="10239" max="10239" width="16.875" style="21" customWidth="1"/>
    <col min="10240" max="10240" width="25" style="21" customWidth="1"/>
    <col min="10241" max="10489" width="9" style="21"/>
    <col min="10490" max="10490" width="8.875" style="21" customWidth="1"/>
    <col min="10491" max="10491" width="13.5" style="21" customWidth="1"/>
    <col min="10492" max="10492" width="9" style="21"/>
    <col min="10493" max="10493" width="3.375" style="21" customWidth="1"/>
    <col min="10494" max="10494" width="28.375" style="21" customWidth="1"/>
    <col min="10495" max="10495" width="16.875" style="21" customWidth="1"/>
    <col min="10496" max="10496" width="25" style="21" customWidth="1"/>
    <col min="10497" max="10745" width="9" style="21"/>
    <col min="10746" max="10746" width="8.875" style="21" customWidth="1"/>
    <col min="10747" max="10747" width="13.5" style="21" customWidth="1"/>
    <col min="10748" max="10748" width="9" style="21"/>
    <col min="10749" max="10749" width="3.375" style="21" customWidth="1"/>
    <col min="10750" max="10750" width="28.375" style="21" customWidth="1"/>
    <col min="10751" max="10751" width="16.875" style="21" customWidth="1"/>
    <col min="10752" max="10752" width="25" style="21" customWidth="1"/>
    <col min="10753" max="11001" width="9" style="21"/>
    <col min="11002" max="11002" width="8.875" style="21" customWidth="1"/>
    <col min="11003" max="11003" width="13.5" style="21" customWidth="1"/>
    <col min="11004" max="11004" width="9" style="21"/>
    <col min="11005" max="11005" width="3.375" style="21" customWidth="1"/>
    <col min="11006" max="11006" width="28.375" style="21" customWidth="1"/>
    <col min="11007" max="11007" width="16.875" style="21" customWidth="1"/>
    <col min="11008" max="11008" width="25" style="21" customWidth="1"/>
    <col min="11009" max="11257" width="9" style="21"/>
    <col min="11258" max="11258" width="8.875" style="21" customWidth="1"/>
    <col min="11259" max="11259" width="13.5" style="21" customWidth="1"/>
    <col min="11260" max="11260" width="9" style="21"/>
    <col min="11261" max="11261" width="3.375" style="21" customWidth="1"/>
    <col min="11262" max="11262" width="28.375" style="21" customWidth="1"/>
    <col min="11263" max="11263" width="16.875" style="21" customWidth="1"/>
    <col min="11264" max="11264" width="25" style="21" customWidth="1"/>
    <col min="11265" max="11513" width="9" style="21"/>
    <col min="11514" max="11514" width="8.875" style="21" customWidth="1"/>
    <col min="11515" max="11515" width="13.5" style="21" customWidth="1"/>
    <col min="11516" max="11516" width="9" style="21"/>
    <col min="11517" max="11517" width="3.375" style="21" customWidth="1"/>
    <col min="11518" max="11518" width="28.375" style="21" customWidth="1"/>
    <col min="11519" max="11519" width="16.875" style="21" customWidth="1"/>
    <col min="11520" max="11520" width="25" style="21" customWidth="1"/>
    <col min="11521" max="11769" width="9" style="21"/>
    <col min="11770" max="11770" width="8.875" style="21" customWidth="1"/>
    <col min="11771" max="11771" width="13.5" style="21" customWidth="1"/>
    <col min="11772" max="11772" width="9" style="21"/>
    <col min="11773" max="11773" width="3.375" style="21" customWidth="1"/>
    <col min="11774" max="11774" width="28.375" style="21" customWidth="1"/>
    <col min="11775" max="11775" width="16.875" style="21" customWidth="1"/>
    <col min="11776" max="11776" width="25" style="21" customWidth="1"/>
    <col min="11777" max="12025" width="9" style="21"/>
    <col min="12026" max="12026" width="8.875" style="21" customWidth="1"/>
    <col min="12027" max="12027" width="13.5" style="21" customWidth="1"/>
    <col min="12028" max="12028" width="9" style="21"/>
    <col min="12029" max="12029" width="3.375" style="21" customWidth="1"/>
    <col min="12030" max="12030" width="28.375" style="21" customWidth="1"/>
    <col min="12031" max="12031" width="16.875" style="21" customWidth="1"/>
    <col min="12032" max="12032" width="25" style="21" customWidth="1"/>
    <col min="12033" max="12281" width="9" style="21"/>
    <col min="12282" max="12282" width="8.875" style="21" customWidth="1"/>
    <col min="12283" max="12283" width="13.5" style="21" customWidth="1"/>
    <col min="12284" max="12284" width="9" style="21"/>
    <col min="12285" max="12285" width="3.375" style="21" customWidth="1"/>
    <col min="12286" max="12286" width="28.375" style="21" customWidth="1"/>
    <col min="12287" max="12287" width="16.875" style="21" customWidth="1"/>
    <col min="12288" max="12288" width="25" style="21" customWidth="1"/>
    <col min="12289" max="12537" width="9" style="21"/>
    <col min="12538" max="12538" width="8.875" style="21" customWidth="1"/>
    <col min="12539" max="12539" width="13.5" style="21" customWidth="1"/>
    <col min="12540" max="12540" width="9" style="21"/>
    <col min="12541" max="12541" width="3.375" style="21" customWidth="1"/>
    <col min="12542" max="12542" width="28.375" style="21" customWidth="1"/>
    <col min="12543" max="12543" width="16.875" style="21" customWidth="1"/>
    <col min="12544" max="12544" width="25" style="21" customWidth="1"/>
    <col min="12545" max="12793" width="9" style="21"/>
    <col min="12794" max="12794" width="8.875" style="21" customWidth="1"/>
    <col min="12795" max="12795" width="13.5" style="21" customWidth="1"/>
    <col min="12796" max="12796" width="9" style="21"/>
    <col min="12797" max="12797" width="3.375" style="21" customWidth="1"/>
    <col min="12798" max="12798" width="28.375" style="21" customWidth="1"/>
    <col min="12799" max="12799" width="16.875" style="21" customWidth="1"/>
    <col min="12800" max="12800" width="25" style="21" customWidth="1"/>
    <col min="12801" max="13049" width="9" style="21"/>
    <col min="13050" max="13050" width="8.875" style="21" customWidth="1"/>
    <col min="13051" max="13051" width="13.5" style="21" customWidth="1"/>
    <col min="13052" max="13052" width="9" style="21"/>
    <col min="13053" max="13053" width="3.375" style="21" customWidth="1"/>
    <col min="13054" max="13054" width="28.375" style="21" customWidth="1"/>
    <col min="13055" max="13055" width="16.875" style="21" customWidth="1"/>
    <col min="13056" max="13056" width="25" style="21" customWidth="1"/>
    <col min="13057" max="13305" width="9" style="21"/>
    <col min="13306" max="13306" width="8.875" style="21" customWidth="1"/>
    <col min="13307" max="13307" width="13.5" style="21" customWidth="1"/>
    <col min="13308" max="13308" width="9" style="21"/>
    <col min="13309" max="13309" width="3.375" style="21" customWidth="1"/>
    <col min="13310" max="13310" width="28.375" style="21" customWidth="1"/>
    <col min="13311" max="13311" width="16.875" style="21" customWidth="1"/>
    <col min="13312" max="13312" width="25" style="21" customWidth="1"/>
    <col min="13313" max="13561" width="9" style="21"/>
    <col min="13562" max="13562" width="8.875" style="21" customWidth="1"/>
    <col min="13563" max="13563" width="13.5" style="21" customWidth="1"/>
    <col min="13564" max="13564" width="9" style="21"/>
    <col min="13565" max="13565" width="3.375" style="21" customWidth="1"/>
    <col min="13566" max="13566" width="28.375" style="21" customWidth="1"/>
    <col min="13567" max="13567" width="16.875" style="21" customWidth="1"/>
    <col min="13568" max="13568" width="25" style="21" customWidth="1"/>
    <col min="13569" max="13817" width="9" style="21"/>
    <col min="13818" max="13818" width="8.875" style="21" customWidth="1"/>
    <col min="13819" max="13819" width="13.5" style="21" customWidth="1"/>
    <col min="13820" max="13820" width="9" style="21"/>
    <col min="13821" max="13821" width="3.375" style="21" customWidth="1"/>
    <col min="13822" max="13822" width="28.375" style="21" customWidth="1"/>
    <col min="13823" max="13823" width="16.875" style="21" customWidth="1"/>
    <col min="13824" max="13824" width="25" style="21" customWidth="1"/>
    <col min="13825" max="14073" width="9" style="21"/>
    <col min="14074" max="14074" width="8.875" style="21" customWidth="1"/>
    <col min="14075" max="14075" width="13.5" style="21" customWidth="1"/>
    <col min="14076" max="14076" width="9" style="21"/>
    <col min="14077" max="14077" width="3.375" style="21" customWidth="1"/>
    <col min="14078" max="14078" width="28.375" style="21" customWidth="1"/>
    <col min="14079" max="14079" width="16.875" style="21" customWidth="1"/>
    <col min="14080" max="14080" width="25" style="21" customWidth="1"/>
    <col min="14081" max="14329" width="9" style="21"/>
    <col min="14330" max="14330" width="8.875" style="21" customWidth="1"/>
    <col min="14331" max="14331" width="13.5" style="21" customWidth="1"/>
    <col min="14332" max="14332" width="9" style="21"/>
    <col min="14333" max="14333" width="3.375" style="21" customWidth="1"/>
    <col min="14334" max="14334" width="28.375" style="21" customWidth="1"/>
    <col min="14335" max="14335" width="16.875" style="21" customWidth="1"/>
    <col min="14336" max="14336" width="25" style="21" customWidth="1"/>
    <col min="14337" max="14585" width="9" style="21"/>
    <col min="14586" max="14586" width="8.875" style="21" customWidth="1"/>
    <col min="14587" max="14587" width="13.5" style="21" customWidth="1"/>
    <col min="14588" max="14588" width="9" style="21"/>
    <col min="14589" max="14589" width="3.375" style="21" customWidth="1"/>
    <col min="14590" max="14590" width="28.375" style="21" customWidth="1"/>
    <col min="14591" max="14591" width="16.875" style="21" customWidth="1"/>
    <col min="14592" max="14592" width="25" style="21" customWidth="1"/>
    <col min="14593" max="14841" width="9" style="21"/>
    <col min="14842" max="14842" width="8.875" style="21" customWidth="1"/>
    <col min="14843" max="14843" width="13.5" style="21" customWidth="1"/>
    <col min="14844" max="14844" width="9" style="21"/>
    <col min="14845" max="14845" width="3.375" style="21" customWidth="1"/>
    <col min="14846" max="14846" width="28.375" style="21" customWidth="1"/>
    <col min="14847" max="14847" width="16.875" style="21" customWidth="1"/>
    <col min="14848" max="14848" width="25" style="21" customWidth="1"/>
    <col min="14849" max="15097" width="9" style="21"/>
    <col min="15098" max="15098" width="8.875" style="21" customWidth="1"/>
    <col min="15099" max="15099" width="13.5" style="21" customWidth="1"/>
    <col min="15100" max="15100" width="9" style="21"/>
    <col min="15101" max="15101" width="3.375" style="21" customWidth="1"/>
    <col min="15102" max="15102" width="28.375" style="21" customWidth="1"/>
    <col min="15103" max="15103" width="16.875" style="21" customWidth="1"/>
    <col min="15104" max="15104" width="25" style="21" customWidth="1"/>
    <col min="15105" max="15353" width="9" style="21"/>
    <col min="15354" max="15354" width="8.875" style="21" customWidth="1"/>
    <col min="15355" max="15355" width="13.5" style="21" customWidth="1"/>
    <col min="15356" max="15356" width="9" style="21"/>
    <col min="15357" max="15357" width="3.375" style="21" customWidth="1"/>
    <col min="15358" max="15358" width="28.375" style="21" customWidth="1"/>
    <col min="15359" max="15359" width="16.875" style="21" customWidth="1"/>
    <col min="15360" max="15360" width="25" style="21" customWidth="1"/>
    <col min="15361" max="15609" width="9" style="21"/>
    <col min="15610" max="15610" width="8.875" style="21" customWidth="1"/>
    <col min="15611" max="15611" width="13.5" style="21" customWidth="1"/>
    <col min="15612" max="15612" width="9" style="21"/>
    <col min="15613" max="15613" width="3.375" style="21" customWidth="1"/>
    <col min="15614" max="15614" width="28.375" style="21" customWidth="1"/>
    <col min="15615" max="15615" width="16.875" style="21" customWidth="1"/>
    <col min="15616" max="15616" width="25" style="21" customWidth="1"/>
    <col min="15617" max="15865" width="9" style="21"/>
    <col min="15866" max="15866" width="8.875" style="21" customWidth="1"/>
    <col min="15867" max="15867" width="13.5" style="21" customWidth="1"/>
    <col min="15868" max="15868" width="9" style="21"/>
    <col min="15869" max="15869" width="3.375" style="21" customWidth="1"/>
    <col min="15870" max="15870" width="28.375" style="21" customWidth="1"/>
    <col min="15871" max="15871" width="16.875" style="21" customWidth="1"/>
    <col min="15872" max="15872" width="25" style="21" customWidth="1"/>
    <col min="15873" max="16121" width="9" style="21"/>
    <col min="16122" max="16122" width="8.875" style="21" customWidth="1"/>
    <col min="16123" max="16123" width="13.5" style="21" customWidth="1"/>
    <col min="16124" max="16124" width="9" style="21"/>
    <col min="16125" max="16125" width="3.375" style="21" customWidth="1"/>
    <col min="16126" max="16126" width="28.375" style="21" customWidth="1"/>
    <col min="16127" max="16127" width="16.875" style="21" customWidth="1"/>
    <col min="16128" max="16128" width="25" style="21" customWidth="1"/>
    <col min="16129" max="16384" width="9" style="21"/>
  </cols>
  <sheetData>
    <row r="1" spans="1:7" ht="30" customHeight="1"/>
    <row r="2" spans="1:7" ht="27.75" customHeight="1">
      <c r="A2" s="64" t="s">
        <v>12</v>
      </c>
      <c r="B2" s="64"/>
      <c r="C2" s="64"/>
      <c r="D2" s="64"/>
      <c r="E2" s="64"/>
      <c r="F2" s="64"/>
      <c r="G2" s="64"/>
    </row>
    <row r="3" spans="1:7" s="26" customFormat="1" ht="32.25" customHeight="1">
      <c r="A3" s="22" t="s">
        <v>13</v>
      </c>
      <c r="B3" s="23"/>
      <c r="C3" s="24"/>
      <c r="D3" s="65">
        <v>45309</v>
      </c>
      <c r="E3" s="66"/>
      <c r="F3" s="66"/>
      <c r="G3" s="25" t="s">
        <v>14</v>
      </c>
    </row>
    <row r="4" spans="1:7" ht="39.950000000000003" customHeight="1">
      <c r="A4" s="27" t="s">
        <v>15</v>
      </c>
      <c r="B4" s="67" t="s">
        <v>43</v>
      </c>
      <c r="C4" s="68"/>
      <c r="D4" s="68"/>
      <c r="E4" s="69"/>
      <c r="F4" s="28" t="s">
        <v>16</v>
      </c>
      <c r="G4" s="60" t="s">
        <v>44</v>
      </c>
    </row>
    <row r="5" spans="1:7" ht="39.950000000000003" customHeight="1">
      <c r="A5" s="27" t="s">
        <v>17</v>
      </c>
      <c r="B5" s="29">
        <v>50</v>
      </c>
      <c r="C5" s="28" t="s">
        <v>18</v>
      </c>
      <c r="D5" s="70">
        <f>G5/B5</f>
        <v>1930</v>
      </c>
      <c r="E5" s="71"/>
      <c r="F5" s="28" t="s">
        <v>19</v>
      </c>
      <c r="G5" s="30">
        <v>96500</v>
      </c>
    </row>
    <row r="6" spans="1:7" ht="39.950000000000003" customHeight="1">
      <c r="A6" s="27" t="s">
        <v>20</v>
      </c>
      <c r="B6" s="72" t="s">
        <v>45</v>
      </c>
      <c r="C6" s="73"/>
      <c r="D6" s="73"/>
      <c r="E6" s="27" t="s">
        <v>46</v>
      </c>
      <c r="F6" s="28" t="s">
        <v>21</v>
      </c>
      <c r="G6" s="31" t="s">
        <v>40</v>
      </c>
    </row>
    <row r="7" spans="1:7" ht="30" customHeight="1">
      <c r="A7" s="27" t="s">
        <v>22</v>
      </c>
      <c r="B7" s="63" t="s">
        <v>23</v>
      </c>
      <c r="C7" s="63"/>
      <c r="D7" s="63"/>
      <c r="E7" s="29"/>
      <c r="F7" s="28" t="s">
        <v>24</v>
      </c>
      <c r="G7" s="28" t="s">
        <v>25</v>
      </c>
    </row>
    <row r="8" spans="1:7" ht="30" customHeight="1">
      <c r="A8" s="32">
        <v>1</v>
      </c>
      <c r="B8" s="78" t="s">
        <v>26</v>
      </c>
      <c r="C8" s="78"/>
      <c r="D8" s="78"/>
      <c r="E8" s="32"/>
      <c r="F8" s="34">
        <f>G5</f>
        <v>96500</v>
      </c>
      <c r="G8" s="28"/>
    </row>
    <row r="9" spans="1:7" ht="30" customHeight="1" thickBot="1">
      <c r="A9" s="35"/>
      <c r="B9" s="79"/>
      <c r="C9" s="79"/>
      <c r="D9" s="79"/>
      <c r="E9" s="36"/>
      <c r="F9" s="37"/>
      <c r="G9" s="37"/>
    </row>
    <row r="10" spans="1:7" ht="30" customHeight="1" thickBot="1">
      <c r="A10" s="38"/>
      <c r="B10" s="80" t="s">
        <v>27</v>
      </c>
      <c r="C10" s="80"/>
      <c r="D10" s="80"/>
      <c r="E10" s="39"/>
      <c r="F10" s="40"/>
      <c r="G10" s="41"/>
    </row>
    <row r="11" spans="1:7" ht="30" customHeight="1">
      <c r="A11" s="42" t="s">
        <v>22</v>
      </c>
      <c r="B11" s="81" t="s">
        <v>28</v>
      </c>
      <c r="C11" s="81"/>
      <c r="D11" s="81"/>
      <c r="E11" s="43" t="s">
        <v>29</v>
      </c>
      <c r="F11" s="44" t="s">
        <v>24</v>
      </c>
      <c r="G11" s="44" t="s">
        <v>25</v>
      </c>
    </row>
    <row r="12" spans="1:7" ht="40.35" customHeight="1">
      <c r="A12" s="32">
        <v>1</v>
      </c>
      <c r="B12" s="74" t="s">
        <v>47</v>
      </c>
      <c r="C12" s="75"/>
      <c r="D12" s="76"/>
      <c r="E12" s="45" t="s">
        <v>66</v>
      </c>
      <c r="F12" s="57">
        <f>800*1</f>
        <v>800</v>
      </c>
      <c r="G12" s="46" t="s">
        <v>30</v>
      </c>
    </row>
    <row r="13" spans="1:7" ht="30" customHeight="1">
      <c r="A13" s="32">
        <v>2</v>
      </c>
      <c r="B13" s="74" t="s">
        <v>53</v>
      </c>
      <c r="C13" s="75"/>
      <c r="D13" s="76"/>
      <c r="E13" s="45" t="s">
        <v>51</v>
      </c>
      <c r="F13" s="57">
        <f>8*2000</f>
        <v>16000</v>
      </c>
      <c r="G13" s="28"/>
    </row>
    <row r="14" spans="1:7" ht="30" customHeight="1">
      <c r="A14" s="33">
        <v>3</v>
      </c>
      <c r="B14" s="74" t="s">
        <v>54</v>
      </c>
      <c r="C14" s="82"/>
      <c r="D14" s="83"/>
      <c r="E14" s="45" t="s">
        <v>52</v>
      </c>
      <c r="F14" s="57">
        <f>24*1000</f>
        <v>24000</v>
      </c>
      <c r="G14" s="28"/>
    </row>
    <row r="15" spans="1:7" ht="30" customHeight="1">
      <c r="A15" s="33">
        <v>4</v>
      </c>
      <c r="B15" s="74" t="s">
        <v>48</v>
      </c>
      <c r="C15" s="75"/>
      <c r="D15" s="76"/>
      <c r="E15" s="45" t="s">
        <v>68</v>
      </c>
      <c r="F15" s="57">
        <f>30*50*4</f>
        <v>6000</v>
      </c>
      <c r="G15" s="28"/>
    </row>
    <row r="16" spans="1:7" ht="30" customHeight="1">
      <c r="A16" s="33">
        <v>5</v>
      </c>
      <c r="B16" s="77" t="s">
        <v>49</v>
      </c>
      <c r="C16" s="75"/>
      <c r="D16" s="76"/>
      <c r="E16" s="45" t="s">
        <v>69</v>
      </c>
      <c r="F16" s="57">
        <f>15*50*8</f>
        <v>6000</v>
      </c>
      <c r="G16" s="28"/>
    </row>
    <row r="17" spans="1:7" ht="30" customHeight="1">
      <c r="A17" s="48">
        <v>6</v>
      </c>
      <c r="B17" s="77" t="s">
        <v>50</v>
      </c>
      <c r="C17" s="75"/>
      <c r="D17" s="76"/>
      <c r="E17" s="45" t="s">
        <v>70</v>
      </c>
      <c r="F17" s="57">
        <f>500*4*3</f>
        <v>6000</v>
      </c>
      <c r="G17" s="28"/>
    </row>
    <row r="18" spans="1:7" ht="30" customHeight="1">
      <c r="A18" s="48">
        <v>7</v>
      </c>
      <c r="B18" s="77" t="s">
        <v>41</v>
      </c>
      <c r="C18" s="75"/>
      <c r="D18" s="76"/>
      <c r="E18" s="45" t="s">
        <v>31</v>
      </c>
      <c r="F18" s="58">
        <f>F8*0.15</f>
        <v>14475</v>
      </c>
      <c r="G18" s="28"/>
    </row>
    <row r="19" spans="1:7" ht="30" customHeight="1">
      <c r="A19" s="35">
        <v>8</v>
      </c>
      <c r="B19" s="74" t="s">
        <v>42</v>
      </c>
      <c r="C19" s="75"/>
      <c r="D19" s="76"/>
      <c r="E19" s="61" t="s">
        <v>67</v>
      </c>
      <c r="F19" s="58">
        <v>5000</v>
      </c>
      <c r="G19" s="37"/>
    </row>
    <row r="20" spans="1:7" ht="30" customHeight="1">
      <c r="A20" s="35"/>
      <c r="B20" s="77"/>
      <c r="C20" s="75"/>
      <c r="D20" s="76"/>
      <c r="E20" s="45"/>
      <c r="F20" s="59"/>
      <c r="G20" s="37"/>
    </row>
    <row r="21" spans="1:7" ht="30" customHeight="1">
      <c r="A21" s="35"/>
      <c r="B21" s="77"/>
      <c r="C21" s="75"/>
      <c r="D21" s="76"/>
      <c r="E21" s="47"/>
      <c r="F21" s="34"/>
      <c r="G21" s="37"/>
    </row>
    <row r="22" spans="1:7" ht="30" customHeight="1" thickBot="1">
      <c r="A22" s="35"/>
      <c r="B22" s="84"/>
      <c r="C22" s="84"/>
      <c r="D22" s="84"/>
      <c r="E22" s="47"/>
      <c r="F22" s="34"/>
      <c r="G22" s="37"/>
    </row>
    <row r="23" spans="1:7" ht="30" customHeight="1" thickBot="1">
      <c r="A23" s="49"/>
      <c r="B23" s="85" t="s">
        <v>32</v>
      </c>
      <c r="C23" s="80"/>
      <c r="D23" s="80"/>
      <c r="E23" s="50"/>
      <c r="F23" s="51">
        <f>SUM(F12:F22)</f>
        <v>78275</v>
      </c>
      <c r="G23" s="50"/>
    </row>
    <row r="24" spans="1:7" ht="30" customHeight="1" thickBot="1">
      <c r="A24" s="38"/>
      <c r="B24" s="80" t="s">
        <v>33</v>
      </c>
      <c r="C24" s="80"/>
      <c r="D24" s="80"/>
      <c r="E24" s="50"/>
      <c r="F24" s="51">
        <f>G5-F23</f>
        <v>18225</v>
      </c>
      <c r="G24" s="50"/>
    </row>
    <row r="25" spans="1:7" ht="16.5" customHeight="1">
      <c r="A25" s="52"/>
      <c r="B25" s="53"/>
    </row>
    <row r="26" spans="1:7" ht="16.5" customHeight="1">
      <c r="A26" s="52" t="s">
        <v>34</v>
      </c>
      <c r="B26" s="53"/>
      <c r="E26" s="21" t="s">
        <v>35</v>
      </c>
      <c r="G26" s="21" t="s">
        <v>36</v>
      </c>
    </row>
    <row r="27" spans="1:7" ht="16.5" customHeight="1">
      <c r="A27" s="52"/>
      <c r="B27" s="53"/>
    </row>
    <row r="28" spans="1:7" ht="16.5" customHeight="1">
      <c r="A28" s="86" t="s">
        <v>37</v>
      </c>
      <c r="B28" s="86"/>
      <c r="C28" s="86"/>
      <c r="D28" s="86"/>
      <c r="E28" s="86"/>
      <c r="F28" s="86"/>
    </row>
    <row r="29" spans="1:7" ht="16.5" customHeight="1">
      <c r="A29" s="52"/>
      <c r="B29" s="53"/>
    </row>
    <row r="30" spans="1:7" ht="16.5" customHeight="1">
      <c r="A30" s="52"/>
      <c r="B30" s="53"/>
    </row>
    <row r="31" spans="1:7" ht="16.5" customHeight="1">
      <c r="A31" s="52"/>
      <c r="B31" s="53"/>
    </row>
    <row r="32" spans="1:7" ht="16.5" customHeight="1">
      <c r="A32" s="52"/>
      <c r="B32" s="53"/>
    </row>
    <row r="33" spans="1:2" ht="16.5" customHeight="1">
      <c r="A33" s="52"/>
      <c r="B33" s="54"/>
    </row>
    <row r="34" spans="1:2" ht="16.5" customHeight="1">
      <c r="A34" s="52"/>
    </row>
    <row r="35" spans="1:2" ht="16.5" customHeight="1">
      <c r="A35" s="52"/>
      <c r="B35" s="54"/>
    </row>
    <row r="36" spans="1:2" ht="16.5" customHeight="1">
      <c r="A36" s="53"/>
      <c r="B36" s="53"/>
    </row>
  </sheetData>
  <mergeCells count="24">
    <mergeCell ref="B21:D21"/>
    <mergeCell ref="B22:D22"/>
    <mergeCell ref="B23:D23"/>
    <mergeCell ref="B24:D24"/>
    <mergeCell ref="A28:F28"/>
    <mergeCell ref="B19:D19"/>
    <mergeCell ref="B20:D20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7:D7"/>
    <mergeCell ref="A2:G2"/>
    <mergeCell ref="D3:F3"/>
    <mergeCell ref="B4:E4"/>
    <mergeCell ref="D5:E5"/>
    <mergeCell ref="B6:D6"/>
  </mergeCells>
  <phoneticPr fontId="3" type="noConversion"/>
  <pageMargins left="0.39370078740157483" right="0.39370078740157483" top="0.11811023622047245" bottom="0.11811023622047245" header="0.51181102362204722" footer="0.51181102362204722"/>
  <pageSetup paperSize="9" scale="87" orientation="portrait" errors="blank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B9" sqref="B9:E9"/>
    </sheetView>
  </sheetViews>
  <sheetFormatPr defaultRowHeight="14.25"/>
  <cols>
    <col min="4" max="4" width="11.875" customWidth="1"/>
    <col min="6" max="6" width="21.125" customWidth="1"/>
  </cols>
  <sheetData>
    <row r="1" spans="1:6" ht="42.75" customHeight="1" thickBot="1">
      <c r="A1" s="87" t="s">
        <v>55</v>
      </c>
      <c r="B1" s="88"/>
      <c r="C1" s="88"/>
      <c r="D1" s="88"/>
      <c r="E1" s="88"/>
      <c r="F1" s="88"/>
    </row>
    <row r="2" spans="1:6" ht="30" customHeight="1">
      <c r="A2" s="4" t="s">
        <v>0</v>
      </c>
      <c r="B2" s="92" t="s">
        <v>56</v>
      </c>
      <c r="C2" s="92"/>
      <c r="D2" s="92"/>
      <c r="E2" s="5" t="s">
        <v>1</v>
      </c>
      <c r="F2" s="6" t="s">
        <v>2</v>
      </c>
    </row>
    <row r="3" spans="1:6" ht="30" customHeight="1">
      <c r="A3" s="7" t="s">
        <v>3</v>
      </c>
      <c r="B3" s="2">
        <v>50</v>
      </c>
      <c r="C3" s="1" t="s">
        <v>4</v>
      </c>
      <c r="D3" s="56">
        <f>F3/B3</f>
        <v>1930</v>
      </c>
      <c r="E3" s="1" t="s">
        <v>5</v>
      </c>
      <c r="F3" s="8">
        <v>96500</v>
      </c>
    </row>
    <row r="4" spans="1:6" ht="30" customHeight="1">
      <c r="A4" s="7" t="s">
        <v>6</v>
      </c>
      <c r="B4" s="2">
        <v>32</v>
      </c>
      <c r="C4" s="3" t="s">
        <v>7</v>
      </c>
      <c r="D4" s="2" t="s">
        <v>57</v>
      </c>
      <c r="E4" s="1" t="s">
        <v>8</v>
      </c>
      <c r="F4" s="55" t="s">
        <v>38</v>
      </c>
    </row>
    <row r="5" spans="1:6" ht="30" customHeight="1" thickBot="1">
      <c r="A5" s="9"/>
      <c r="B5" s="93" t="s">
        <v>9</v>
      </c>
      <c r="C5" s="93"/>
      <c r="D5" s="93"/>
      <c r="E5" s="93"/>
      <c r="F5" s="10" t="s">
        <v>10</v>
      </c>
    </row>
    <row r="6" spans="1:6" ht="30" customHeight="1" thickTop="1">
      <c r="A6" s="11">
        <v>1</v>
      </c>
      <c r="B6" s="89" t="str">
        <f>'预算表 '!B12&amp;" "&amp;'预算表 '!E12</f>
        <v>场地费 800元/天*1天</v>
      </c>
      <c r="C6" s="89"/>
      <c r="D6" s="89"/>
      <c r="E6" s="89"/>
      <c r="F6" s="12">
        <f>'预算表 '!F12</f>
        <v>800</v>
      </c>
    </row>
    <row r="7" spans="1:6" ht="30" customHeight="1">
      <c r="A7" s="13">
        <v>2</v>
      </c>
      <c r="B7" s="89" t="str">
        <f>'预算表 '!B13&amp;" "&amp;'预算表 '!E13</f>
        <v>授课讲师费（专家） 2000元/课时*8课时*1人</v>
      </c>
      <c r="C7" s="89"/>
      <c r="D7" s="89"/>
      <c r="E7" s="89"/>
      <c r="F7" s="12">
        <f>'预算表 '!F13</f>
        <v>16000</v>
      </c>
    </row>
    <row r="8" spans="1:6" ht="30" customHeight="1">
      <c r="A8" s="13">
        <v>3</v>
      </c>
      <c r="B8" s="89" t="str">
        <f>'预算表 '!B14&amp;" "&amp;'预算表 '!E14</f>
        <v>授课讲师费（讲师） 1000元/课时*24课时*1人</v>
      </c>
      <c r="C8" s="89"/>
      <c r="D8" s="89"/>
      <c r="E8" s="89"/>
      <c r="F8" s="12">
        <f>'预算表 '!F14</f>
        <v>24000</v>
      </c>
    </row>
    <row r="9" spans="1:6" ht="30" customHeight="1">
      <c r="A9" s="13">
        <v>4</v>
      </c>
      <c r="B9" s="89" t="str">
        <f>'预算表 '!B15&amp;" "&amp;'预算表 '!E15</f>
        <v>伙食费 30元/人次*50人*4次</v>
      </c>
      <c r="C9" s="89"/>
      <c r="D9" s="89"/>
      <c r="E9" s="89"/>
      <c r="F9" s="12">
        <f>'预算表 '!F15</f>
        <v>6000</v>
      </c>
    </row>
    <row r="10" spans="1:6" ht="30" customHeight="1">
      <c r="A10" s="13">
        <v>5</v>
      </c>
      <c r="B10" s="89" t="str">
        <f>'预算表 '!B16&amp;" "&amp;'预算表 '!E16</f>
        <v>茶歇 15元/人次*50人*8次</v>
      </c>
      <c r="C10" s="89"/>
      <c r="D10" s="89"/>
      <c r="E10" s="89"/>
      <c r="F10" s="12">
        <f>'预算表 '!F16</f>
        <v>6000</v>
      </c>
    </row>
    <row r="11" spans="1:6" ht="30" customHeight="1">
      <c r="A11" s="13">
        <v>6</v>
      </c>
      <c r="B11" s="89" t="str">
        <f>'预算表 '!B17&amp;" "&amp;'预算表 '!E17</f>
        <v>劳务费 500元/人天*4天*3人</v>
      </c>
      <c r="C11" s="89"/>
      <c r="D11" s="89"/>
      <c r="E11" s="89"/>
      <c r="F11" s="12">
        <f>'预算表 '!F17</f>
        <v>6000</v>
      </c>
    </row>
    <row r="12" spans="1:6" ht="30" customHeight="1">
      <c r="A12" s="13">
        <v>7</v>
      </c>
      <c r="B12" s="89" t="str">
        <f>'预算表 '!B18&amp;" "&amp;'预算表 '!E18</f>
        <v>学校管理费 收入的15%</v>
      </c>
      <c r="C12" s="89"/>
      <c r="D12" s="89"/>
      <c r="E12" s="89"/>
      <c r="F12" s="12">
        <f>'预算表 '!F18</f>
        <v>14475</v>
      </c>
    </row>
    <row r="13" spans="1:6" ht="30" customHeight="1">
      <c r="A13" s="13">
        <v>8</v>
      </c>
      <c r="B13" s="89" t="str">
        <f>'预算表 '!B19&amp;" "&amp;'预算表 '!E19</f>
        <v>学员手册等印刷费 100元/人*50人</v>
      </c>
      <c r="C13" s="89"/>
      <c r="D13" s="89"/>
      <c r="E13" s="89"/>
      <c r="F13" s="12">
        <f>'预算表 '!F19</f>
        <v>5000</v>
      </c>
    </row>
    <row r="14" spans="1:6" ht="30" customHeight="1" thickBot="1">
      <c r="A14" s="13">
        <v>9</v>
      </c>
      <c r="B14" s="89" t="str">
        <f>'预算表 '!E20&amp;" "&amp;'预算表 '!E20</f>
        <v xml:space="preserve"> </v>
      </c>
      <c r="C14" s="89"/>
      <c r="D14" s="89"/>
      <c r="E14" s="89"/>
      <c r="F14" s="15">
        <f>SUM(F3)-SUM(F6:F13)</f>
        <v>18225</v>
      </c>
    </row>
    <row r="15" spans="1:6" ht="30" customHeight="1" thickTop="1" thickBot="1">
      <c r="A15" s="90" t="s">
        <v>11</v>
      </c>
      <c r="B15" s="91"/>
      <c r="C15" s="91"/>
      <c r="D15" s="91"/>
      <c r="E15" s="91"/>
      <c r="F15" s="16">
        <f>SUM(F6:F14)</f>
        <v>96500</v>
      </c>
    </row>
    <row r="16" spans="1:6" ht="30" customHeight="1" thickTop="1" thickBot="1">
      <c r="A16" s="17" t="s">
        <v>39</v>
      </c>
      <c r="B16" s="18"/>
      <c r="C16" s="18"/>
      <c r="D16" s="18"/>
      <c r="E16" s="19"/>
      <c r="F16" s="20"/>
    </row>
  </sheetData>
  <mergeCells count="13">
    <mergeCell ref="A1:F1"/>
    <mergeCell ref="B9:E9"/>
    <mergeCell ref="A15:E15"/>
    <mergeCell ref="B2:D2"/>
    <mergeCell ref="B5:E5"/>
    <mergeCell ref="B6:E6"/>
    <mergeCell ref="B7:E7"/>
    <mergeCell ref="B10:E10"/>
    <mergeCell ref="B12:E12"/>
    <mergeCell ref="B13:E13"/>
    <mergeCell ref="B14:E14"/>
    <mergeCell ref="B8:E8"/>
    <mergeCell ref="B11:E11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9D3D5-D503-47ED-A901-07A033FB98B4}">
  <dimension ref="A1:F16"/>
  <sheetViews>
    <sheetView workbookViewId="0">
      <selection activeCell="B9" sqref="B9:E9"/>
    </sheetView>
  </sheetViews>
  <sheetFormatPr defaultRowHeight="14.25"/>
  <cols>
    <col min="4" max="4" width="11.875" customWidth="1"/>
    <col min="6" max="6" width="21.125" customWidth="1"/>
  </cols>
  <sheetData>
    <row r="1" spans="1:6" ht="42.75" customHeight="1" thickBot="1">
      <c r="A1" s="87" t="s">
        <v>55</v>
      </c>
      <c r="B1" s="88"/>
      <c r="C1" s="88"/>
      <c r="D1" s="88"/>
      <c r="E1" s="88"/>
      <c r="F1" s="88"/>
    </row>
    <row r="2" spans="1:6" ht="30" customHeight="1">
      <c r="A2" s="4" t="s">
        <v>0</v>
      </c>
      <c r="B2" s="92" t="s">
        <v>56</v>
      </c>
      <c r="C2" s="92"/>
      <c r="D2" s="92"/>
      <c r="E2" s="5" t="s">
        <v>1</v>
      </c>
      <c r="F2" s="6" t="s">
        <v>2</v>
      </c>
    </row>
    <row r="3" spans="1:6" ht="30" customHeight="1">
      <c r="A3" s="7" t="s">
        <v>3</v>
      </c>
      <c r="B3" s="2">
        <v>50</v>
      </c>
      <c r="C3" s="1" t="s">
        <v>4</v>
      </c>
      <c r="D3" s="56">
        <f>F3/B3</f>
        <v>1930</v>
      </c>
      <c r="E3" s="1" t="s">
        <v>5</v>
      </c>
      <c r="F3" s="8">
        <v>96500</v>
      </c>
    </row>
    <row r="4" spans="1:6" ht="30" customHeight="1">
      <c r="A4" s="7" t="s">
        <v>6</v>
      </c>
      <c r="B4" s="2">
        <v>32</v>
      </c>
      <c r="C4" s="3" t="s">
        <v>7</v>
      </c>
      <c r="D4" s="2" t="s">
        <v>72</v>
      </c>
      <c r="E4" s="1" t="s">
        <v>8</v>
      </c>
      <c r="F4" s="55" t="s">
        <v>38</v>
      </c>
    </row>
    <row r="5" spans="1:6" ht="30" customHeight="1" thickBot="1">
      <c r="A5" s="9"/>
      <c r="B5" s="93" t="s">
        <v>9</v>
      </c>
      <c r="C5" s="93"/>
      <c r="D5" s="93"/>
      <c r="E5" s="93"/>
      <c r="F5" s="10" t="s">
        <v>10</v>
      </c>
    </row>
    <row r="6" spans="1:6" ht="30" customHeight="1" thickTop="1">
      <c r="A6" s="11">
        <v>1</v>
      </c>
      <c r="B6" s="97" t="s">
        <v>58</v>
      </c>
      <c r="C6" s="98"/>
      <c r="D6" s="98"/>
      <c r="E6" s="99"/>
      <c r="F6" s="12">
        <v>10000</v>
      </c>
    </row>
    <row r="7" spans="1:6" ht="30" customHeight="1">
      <c r="A7" s="13">
        <v>2</v>
      </c>
      <c r="B7" s="94" t="s">
        <v>59</v>
      </c>
      <c r="C7" s="95"/>
      <c r="D7" s="95"/>
      <c r="E7" s="96"/>
      <c r="F7" s="14">
        <v>16000</v>
      </c>
    </row>
    <row r="8" spans="1:6" ht="30" customHeight="1">
      <c r="A8" s="13">
        <v>3</v>
      </c>
      <c r="B8" s="94" t="s">
        <v>60</v>
      </c>
      <c r="C8" s="95"/>
      <c r="D8" s="95"/>
      <c r="E8" s="96"/>
      <c r="F8" s="14">
        <v>24000</v>
      </c>
    </row>
    <row r="9" spans="1:6" ht="30" customHeight="1">
      <c r="A9" s="13">
        <v>4</v>
      </c>
      <c r="B9" s="94" t="s">
        <v>61</v>
      </c>
      <c r="C9" s="95"/>
      <c r="D9" s="95"/>
      <c r="E9" s="96"/>
      <c r="F9" s="14">
        <v>7000</v>
      </c>
    </row>
    <row r="10" spans="1:6" ht="30" customHeight="1">
      <c r="A10" s="13">
        <v>5</v>
      </c>
      <c r="B10" s="94" t="s">
        <v>62</v>
      </c>
      <c r="C10" s="95"/>
      <c r="D10" s="95"/>
      <c r="E10" s="96"/>
      <c r="F10" s="14">
        <v>8000</v>
      </c>
    </row>
    <row r="11" spans="1:6" ht="30" customHeight="1">
      <c r="A11" s="13">
        <v>6</v>
      </c>
      <c r="B11" s="94" t="s">
        <v>63</v>
      </c>
      <c r="C11" s="95"/>
      <c r="D11" s="95"/>
      <c r="E11" s="96"/>
      <c r="F11" s="14">
        <v>9600</v>
      </c>
    </row>
    <row r="12" spans="1:6" ht="30" customHeight="1">
      <c r="A12" s="13">
        <v>7</v>
      </c>
      <c r="B12" s="94" t="s">
        <v>64</v>
      </c>
      <c r="C12" s="95"/>
      <c r="D12" s="95"/>
      <c r="E12" s="96"/>
      <c r="F12" s="14">
        <v>14475</v>
      </c>
    </row>
    <row r="13" spans="1:6" ht="30" customHeight="1">
      <c r="A13" s="13">
        <v>8</v>
      </c>
      <c r="B13" s="94" t="s">
        <v>65</v>
      </c>
      <c r="C13" s="95"/>
      <c r="D13" s="95"/>
      <c r="E13" s="96"/>
      <c r="F13" s="14">
        <v>7425</v>
      </c>
    </row>
    <row r="14" spans="1:6" ht="30" customHeight="1" thickBot="1">
      <c r="A14" s="13">
        <v>9</v>
      </c>
      <c r="B14" s="89" t="str">
        <f>'预算表 '!E20&amp;" "&amp;'预算表 '!E20</f>
        <v xml:space="preserve"> </v>
      </c>
      <c r="C14" s="89"/>
      <c r="D14" s="89"/>
      <c r="E14" s="89"/>
      <c r="F14" s="15">
        <f>SUM(F3)-SUM(F6:F13)</f>
        <v>0</v>
      </c>
    </row>
    <row r="15" spans="1:6" ht="30" customHeight="1" thickTop="1" thickBot="1">
      <c r="A15" s="90" t="s">
        <v>11</v>
      </c>
      <c r="B15" s="91"/>
      <c r="C15" s="91"/>
      <c r="D15" s="91"/>
      <c r="E15" s="91"/>
      <c r="F15" s="16">
        <f>SUM(F6:F14)</f>
        <v>96500</v>
      </c>
    </row>
    <row r="16" spans="1:6" ht="30" customHeight="1" thickTop="1" thickBot="1">
      <c r="A16" s="62" t="s">
        <v>71</v>
      </c>
      <c r="B16" s="18"/>
      <c r="C16" s="18"/>
      <c r="D16" s="18"/>
      <c r="E16" s="19"/>
      <c r="F16" s="20"/>
    </row>
  </sheetData>
  <mergeCells count="13">
    <mergeCell ref="B8:E8"/>
    <mergeCell ref="A1:F1"/>
    <mergeCell ref="B2:D2"/>
    <mergeCell ref="B5:E5"/>
    <mergeCell ref="B6:E6"/>
    <mergeCell ref="B7:E7"/>
    <mergeCell ref="A15:E15"/>
    <mergeCell ref="B9:E9"/>
    <mergeCell ref="B10:E10"/>
    <mergeCell ref="B11:E11"/>
    <mergeCell ref="B12:E12"/>
    <mergeCell ref="B13:E13"/>
    <mergeCell ref="B14:E14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预算表 </vt:lpstr>
      <vt:lpstr>测算表</vt:lpstr>
      <vt:lpstr>测算表 (最终)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翔 蔡</cp:lastModifiedBy>
  <cp:lastPrinted>2024-01-29T00:52:29Z</cp:lastPrinted>
  <dcterms:created xsi:type="dcterms:W3CDTF">2022-02-18T06:05:50Z</dcterms:created>
  <dcterms:modified xsi:type="dcterms:W3CDTF">2024-02-22T06:23:09Z</dcterms:modified>
</cp:coreProperties>
</file>